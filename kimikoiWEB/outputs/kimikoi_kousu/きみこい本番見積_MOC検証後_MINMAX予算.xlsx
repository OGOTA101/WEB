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kimikoi_kousu\"/>
    </mc:Choice>
  </mc:AlternateContent>
  <bookViews>
    <workbookView xWindow="0" yWindow="0" windowWidth="28800" windowHeight="12120"/>
  </bookViews>
  <sheets>
    <sheet name="見積" sheetId="1" r:id="rId1"/>
    <sheet name="MOC後詳細" sheetId="2" r:id="rId2"/>
  </sheets>
  <definedNames>
    <definedName name="_xlnm._FilterDatabase" localSheetId="1" hidden="1">MOC後詳細!$A$1:$I$265</definedName>
    <definedName name="_xlnm._FilterDatabase" localSheetId="0" hidden="1">見積!$B$12:$I$26</definedName>
  </definedNames>
  <calcPr calcId="162913" forceFullCalc="1"/>
</workbook>
</file>

<file path=xl/calcChain.xml><?xml version="1.0" encoding="utf-8"?>
<calcChain xmlns="http://schemas.openxmlformats.org/spreadsheetml/2006/main">
  <c r="H265" i="2" l="1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F31" i="1"/>
  <c r="E31" i="1"/>
  <c r="D31" i="1"/>
  <c r="H30" i="1"/>
  <c r="J30" i="1" s="1"/>
  <c r="G30" i="1"/>
  <c r="I30" i="1" s="1"/>
  <c r="H29" i="1"/>
  <c r="J29" i="1" s="1"/>
  <c r="G29" i="1"/>
  <c r="I29" i="1" s="1"/>
  <c r="H28" i="1"/>
  <c r="J28" i="1" s="1"/>
  <c r="G28" i="1"/>
  <c r="I28" i="1" s="1"/>
  <c r="H27" i="1"/>
  <c r="J27" i="1" s="1"/>
  <c r="G27" i="1"/>
  <c r="I27" i="1" s="1"/>
  <c r="H26" i="1"/>
  <c r="J26" i="1" s="1"/>
  <c r="G26" i="1"/>
  <c r="I26" i="1" s="1"/>
  <c r="H25" i="1"/>
  <c r="J25" i="1" s="1"/>
  <c r="G25" i="1"/>
  <c r="I25" i="1" s="1"/>
  <c r="H24" i="1"/>
  <c r="J24" i="1" s="1"/>
  <c r="G24" i="1"/>
  <c r="I24" i="1" s="1"/>
  <c r="H23" i="1"/>
  <c r="J23" i="1" s="1"/>
  <c r="G23" i="1"/>
  <c r="I23" i="1" s="1"/>
  <c r="H22" i="1"/>
  <c r="J22" i="1" s="1"/>
  <c r="G22" i="1"/>
  <c r="I22" i="1" s="1"/>
  <c r="H21" i="1"/>
  <c r="J21" i="1" s="1"/>
  <c r="G21" i="1"/>
  <c r="I21" i="1" s="1"/>
  <c r="H20" i="1"/>
  <c r="J20" i="1" s="1"/>
  <c r="G20" i="1"/>
  <c r="I20" i="1" s="1"/>
  <c r="H19" i="1"/>
  <c r="J19" i="1" s="1"/>
  <c r="G19" i="1"/>
  <c r="I19" i="1" s="1"/>
  <c r="H18" i="1"/>
  <c r="J18" i="1" s="1"/>
  <c r="G18" i="1"/>
  <c r="I18" i="1" s="1"/>
  <c r="H17" i="1"/>
  <c r="J17" i="1" s="1"/>
  <c r="G17" i="1"/>
  <c r="I17" i="1" s="1"/>
  <c r="H16" i="1"/>
  <c r="G16" i="1"/>
  <c r="D7" i="1"/>
  <c r="D6" i="1"/>
  <c r="G31" i="1" l="1"/>
  <c r="D9" i="1" s="1"/>
  <c r="H31" i="1"/>
  <c r="D10" i="1" s="1"/>
  <c r="I16" i="1"/>
  <c r="I31" i="1" s="1"/>
  <c r="D3" i="1" s="1"/>
  <c r="J16" i="1"/>
  <c r="J31" i="1" s="1"/>
  <c r="D4" i="1" s="1"/>
</calcChain>
</file>

<file path=xl/sharedStrings.xml><?xml version="1.0" encoding="utf-8"?>
<sst xmlns="http://schemas.openxmlformats.org/spreadsheetml/2006/main" count="1137" uniqueCount="408">
  <si>
    <t>概算費用 MIN（税抜）</t>
  </si>
  <si>
    <t>円</t>
  </si>
  <si>
    <t>見積工数MIN × 8時間 × 概算時間単価</t>
  </si>
  <si>
    <t>概算費用 MAX（税抜）</t>
  </si>
  <si>
    <t>見積工数MAX × 8時間 × 概算時間単価</t>
  </si>
  <si>
    <t>集計対象</t>
  </si>
  <si>
    <t>本番工数（MOC検証後）</t>
  </si>
  <si>
    <t>中間リリース追加目安は未含有</t>
  </si>
  <si>
    <t>MOC検証後 MIN</t>
  </si>
  <si>
    <t>人日</t>
  </si>
  <si>
    <t>新列Mの合計</t>
  </si>
  <si>
    <t>MOC検証後 MAX</t>
  </si>
  <si>
    <t>新列Nの合計</t>
  </si>
  <si>
    <t>バッファ係数</t>
  </si>
  <si>
    <t>倍</t>
  </si>
  <si>
    <t>本番工数（MOC検証後）の前提</t>
  </si>
  <si>
    <t>見積工数 MIN</t>
  </si>
  <si>
    <t>MOC検証後MIN × バッファ</t>
  </si>
  <si>
    <t>見積工数 MAX</t>
  </si>
  <si>
    <t>MOC検証後MAX × バッファ</t>
  </si>
  <si>
    <t>1人日あたり時間</t>
  </si>
  <si>
    <t>時間</t>
  </si>
  <si>
    <t>標準稼働時間</t>
  </si>
  <si>
    <t>概算時間単価</t>
  </si>
  <si>
    <t>円/時間</t>
  </si>
  <si>
    <t>元見積660万円と179.75人日から算出</t>
  </si>
  <si>
    <t>No.</t>
  </si>
  <si>
    <t>大項目</t>
  </si>
  <si>
    <t>タスク数</t>
  </si>
  <si>
    <t>MOC MIN</t>
  </si>
  <si>
    <t>MOC MAX</t>
  </si>
  <si>
    <t>見積MIN人日</t>
  </si>
  <si>
    <t>見積MAX人日</t>
  </si>
  <si>
    <t>MIN金額</t>
  </si>
  <si>
    <t>MAX金額</t>
  </si>
  <si>
    <t>主な範囲</t>
  </si>
  <si>
    <t>00. 開発環境</t>
  </si>
  <si>
    <t>プロジェクト初期化 / バージョン管理 / フォルダ構成 / アセット導入 / 共通基盤</t>
  </si>
  <si>
    <t>01. 基盤システム</t>
  </si>
  <si>
    <t>入力定義 / 入力実装 / 仮想カーソル / サウンド基盤</t>
  </si>
  <si>
    <t>02. 疑似OS</t>
  </si>
  <si>
    <t>ウィンドウ基盤 / ドラッグ操作 / フォーカス管理 / リサイズ操作 / デスクトップ ほか</t>
  </si>
  <si>
    <t>03. ADVエンジン</t>
  </si>
  <si>
    <t>データ解析 / テキスト表示 / コマンド処理 / 全体進行制御 / 立ち絵制御 ほか</t>
  </si>
  <si>
    <t>04. アプリ実装</t>
  </si>
  <si>
    <t>LIMEチャット / LIME通話 / Googru検索 / メール機能 / 設定画面 ほか</t>
  </si>
  <si>
    <t>05. 進行・ループ</t>
  </si>
  <si>
    <t>データ構造 / 進行管理（時間 / フラグ / 死に戻り / エンディング</t>
  </si>
  <si>
    <t>06. メタ演出</t>
  </si>
  <si>
    <t>グリッチ / マウスジャック / 偽装入力 / 疑似クラッシュ / 動画連携</t>
  </si>
  <si>
    <t>07. 仕上げ</t>
  </si>
  <si>
    <t>Steam対応 / デバッグ機能 / ビルド設定</t>
  </si>
  <si>
    <t>妹 表情差分/Spine</t>
  </si>
  <si>
    <t>タッチアクション</t>
  </si>
  <si>
    <t>技術剪定/演出検証</t>
  </si>
  <si>
    <t>Exeシナリオ読込/デバッグ</t>
  </si>
  <si>
    <t>統合/QA</t>
  </si>
  <si>
    <t>08. FB対応（MOC検証後・概算）</t>
  </si>
  <si>
    <t>FB対応</t>
  </si>
  <si>
    <t>09. QA/検証（MOC検証後・概算）</t>
  </si>
  <si>
    <t>QA/検証</t>
  </si>
  <si>
    <t>合計</t>
  </si>
  <si>
    <t>中項目</t>
  </si>
  <si>
    <t>タスク</t>
  </si>
  <si>
    <t>判断理由</t>
  </si>
  <si>
    <t>プロジェクト初期化</t>
  </si>
  <si>
    <t>MOCで初期設定・導入が進んだため、本番では確認と整理中心</t>
  </si>
  <si>
    <t>メンバーサポート</t>
  </si>
  <si>
    <t>バージョン管理</t>
  </si>
  <si>
    <t>プロジェクトルートで git init 実行</t>
  </si>
  <si>
    <t>.gitignore 作成</t>
  </si>
  <si>
    <t>Git LFS初期化</t>
  </si>
  <si>
    <t>フォルダ構成</t>
  </si>
  <si>
    <t>Assets以下のフォルダ構成考案</t>
  </si>
  <si>
    <t>アセット導入</t>
  </si>
  <si>
    <t>TextMeshPro 導入</t>
  </si>
  <si>
    <t>日本語フォント(SDF)作成</t>
  </si>
  <si>
    <t>Input System 導入</t>
  </si>
  <si>
    <t>Spine Runtime 導入</t>
  </si>
  <si>
    <t>Spine/表情差分/タッチ判定の本番品質化で増加</t>
  </si>
  <si>
    <t>Newtonsoft.Json 導入</t>
  </si>
  <si>
    <t>Steamworks.NET 導入</t>
  </si>
  <si>
    <t>共通基盤</t>
  </si>
  <si>
    <t>Lステート管理</t>
  </si>
  <si>
    <t>Lフラグ管理</t>
  </si>
  <si>
    <t>Lデータ管理</t>
  </si>
  <si>
    <t>Localization基板作成</t>
  </si>
  <si>
    <t>入力定義</t>
  </si>
  <si>
    <t>GameControls 作成</t>
  </si>
  <si>
    <t>基盤はMOCで骨格確認済み。堅牢化分だけ残す</t>
  </si>
  <si>
    <t>Map: "Player", "UI", "Global" 作成</t>
  </si>
  <si>
    <t>Action定義: マウス操作</t>
  </si>
  <si>
    <t>入力実装</t>
  </si>
  <si>
    <t>InputProvider.cs 作成</t>
  </si>
  <si>
    <t>デバイス検知ロジック実装</t>
  </si>
  <si>
    <t>仮想カーソル</t>
  </si>
  <si>
    <t>VirtualCursor.cs 作成</t>
  </si>
  <si>
    <t>画面外への移動制限</t>
  </si>
  <si>
    <t>カーソル加速処理</t>
  </si>
  <si>
    <t>マグネット吸着処理</t>
  </si>
  <si>
    <t>CursorVisual.cs 作成</t>
  </si>
  <si>
    <t>サウンド基盤</t>
  </si>
  <si>
    <t>AudioMixer作成</t>
  </si>
  <si>
    <t>Volumeパラメータ設定</t>
  </si>
  <si>
    <t>ダッキング設定</t>
  </si>
  <si>
    <t>BGMダッキング・環境音・SEタイミングのFBを反映</t>
  </si>
  <si>
    <t>SoundManager.cs 作成</t>
  </si>
  <si>
    <t>QAを10人日に圧縮した分を、MOCで本番化リスクが見えた実装/調整側へ再配分</t>
  </si>
  <si>
    <t>PlayBGM 実装</t>
  </si>
  <si>
    <t>BGMクロスフェード処理</t>
  </si>
  <si>
    <t>PlaySE 実装</t>
  </si>
  <si>
    <t>SE同時発音数制限</t>
  </si>
  <si>
    <t>PlayVoice 実装</t>
  </si>
  <si>
    <t>ウィンドウ基盤</t>
  </si>
  <si>
    <t>WindowBase.cs 作成</t>
  </si>
  <si>
    <t>ウィンドウ/タスクバー等はMOC流用。解像度・前面制御の調整は残る</t>
  </si>
  <si>
    <t>ステート管理実装</t>
  </si>
  <si>
    <t>ドラッグ操作</t>
  </si>
  <si>
    <t>ドラッグ移動実装</t>
  </si>
  <si>
    <t>画面端での移動制限</t>
  </si>
  <si>
    <t>最前面移動処理</t>
  </si>
  <si>
    <t>フォーカス管理</t>
  </si>
  <si>
    <t>WindowManager.cs 作成</t>
  </si>
  <si>
    <t>リサイズ操作</t>
  </si>
  <si>
    <t>ResizeHandle 配置</t>
  </si>
  <si>
    <t>デスクトップ</t>
  </si>
  <si>
    <t>WallpaperManager.cs 作成</t>
  </si>
  <si>
    <t>アイコン定義データ作成</t>
  </si>
  <si>
    <t>グリッドレイアウト計算</t>
  </si>
  <si>
    <t>タスクバー</t>
  </si>
  <si>
    <t>UIレイアウト作成</t>
  </si>
  <si>
    <t>デジタル時計更新</t>
  </si>
  <si>
    <t>ウィンドウ連携処理</t>
  </si>
  <si>
    <t>最小化/復帰トグル動作</t>
  </si>
  <si>
    <t>OS共通UI</t>
  </si>
  <si>
    <t>汎用確認ダイアログ作成</t>
  </si>
  <si>
    <t>トースト通知UI作成</t>
  </si>
  <si>
    <t>通知クリック連携</t>
  </si>
  <si>
    <t>MOC FBで通知/前面化の違和感が出たため本番調整を増加</t>
  </si>
  <si>
    <t>データ解析</t>
  </si>
  <si>
    <t>CSVフォーマット確定</t>
  </si>
  <si>
    <t>CSV/選択肢基盤はMOCで実績があるため削減</t>
  </si>
  <si>
    <t>CSV読み込み処理</t>
  </si>
  <si>
    <t>CSVパース処理</t>
  </si>
  <si>
    <t>進行管理変数実装</t>
  </si>
  <si>
    <t>テキスト表示</t>
  </si>
  <si>
    <t>メッセージウィンドウUI作成</t>
  </si>
  <si>
    <t>CSV/選択肢/進行はMOCで進んだため、基本は圧縮</t>
  </si>
  <si>
    <t>タイプライター演出実装</t>
  </si>
  <si>
    <t>文字送りスキップ処理</t>
  </si>
  <si>
    <t>TMPタグ解析</t>
  </si>
  <si>
    <t>Page Feedアイコン演出</t>
  </si>
  <si>
    <t>オートモードロジック</t>
  </si>
  <si>
    <t>コマンド処理</t>
  </si>
  <si>
    <t>コマンド分岐実装</t>
  </si>
  <si>
    <t>背景変更コマンド</t>
  </si>
  <si>
    <t>BGM/SEコマンド</t>
  </si>
  <si>
    <t>Waitコマンド</t>
  </si>
  <si>
    <t>Shakeコマンド</t>
  </si>
  <si>
    <t>Flashコマンド</t>
  </si>
  <si>
    <t>全体進行制御</t>
  </si>
  <si>
    <t>AppCall コマンド</t>
  </si>
  <si>
    <t>WaitForApp ステート</t>
  </si>
  <si>
    <t>アプリ結果受信処理</t>
  </si>
  <si>
    <t>Notification 割込コマンド</t>
  </si>
  <si>
    <t>DesktopMode 遷移処理</t>
  </si>
  <si>
    <t>TimeWait コマンド</t>
  </si>
  <si>
    <t>SetTime コマンド</t>
  </si>
  <si>
    <t>立ち絵制御</t>
  </si>
  <si>
    <t>CharacterManager.cs 作成</t>
  </si>
  <si>
    <t>立ち絵表示コマンド</t>
  </si>
  <si>
    <t>立ち絵アニメーションコマンド</t>
  </si>
  <si>
    <t>表情差分変更コマンド</t>
  </si>
  <si>
    <t>移動演出コマンド</t>
  </si>
  <si>
    <t>退場演出コマンド</t>
  </si>
  <si>
    <t>ログ機能</t>
  </si>
  <si>
    <t>BackLogData 定義</t>
  </si>
  <si>
    <t>ログ永続化がMOCで未実装のため増加</t>
  </si>
  <si>
    <t>ログウィンドウUI動的生成</t>
  </si>
  <si>
    <t>ボイスリプレイ機能</t>
  </si>
  <si>
    <t>古いログの破棄</t>
  </si>
  <si>
    <t>選択肢</t>
  </si>
  <si>
    <t>選択肢ボタンUI作成</t>
  </si>
  <si>
    <t>選択肢動的生成</t>
  </si>
  <si>
    <t>ジャンプ (Label Jump)</t>
  </si>
  <si>
    <t>条件付き選択肢</t>
  </si>
  <si>
    <t>特殊演出: 選択不可</t>
  </si>
  <si>
    <t>特殊演出: 逃げるボタン</t>
  </si>
  <si>
    <t>特殊演出: 検閲ボタン</t>
  </si>
  <si>
    <t>スキップ機能</t>
  </si>
  <si>
    <t>既読フラグ管理</t>
  </si>
  <si>
    <t>強制スキップ実装</t>
  </si>
  <si>
    <t>未読停止 (Safety Stop)</t>
  </si>
  <si>
    <t>オートセーブ</t>
  </si>
  <si>
    <t>SaveData クラス定義</t>
  </si>
  <si>
    <t>JSONシリアライズ</t>
  </si>
  <si>
    <t>AES暗号化処理</t>
  </si>
  <si>
    <t>復号化 &amp; ロード処理</t>
  </si>
  <si>
    <t>LIMEチャット</t>
  </si>
  <si>
    <t>ChatData 定義</t>
  </si>
  <si>
    <t>LIME/Googru等の土台はMOC流用。演出差分のみ追加</t>
  </si>
  <si>
    <t>チャットウィンドウUI作成</t>
  </si>
  <si>
    <t>吹き出しプレハブ作成</t>
  </si>
  <si>
    <t>メッセージ追加処理</t>
  </si>
  <si>
    <t>画像送信プレハブ</t>
  </si>
  <si>
    <t>LIMEスタンプ/入力演出がFB・照合表で残っているため増加</t>
  </si>
  <si>
    <t>文字入力周り・送信周りアニメ</t>
  </si>
  <si>
    <t>返信選択肢ロジック</t>
  </si>
  <si>
    <t>ADVフラグ連携</t>
  </si>
  <si>
    <t>LIME通話</t>
  </si>
  <si>
    <t>通話画面UI作成</t>
  </si>
  <si>
    <t>着信演出</t>
  </si>
  <si>
    <t>応答/拒否イベント</t>
  </si>
  <si>
    <t>音声波形演出</t>
  </si>
  <si>
    <t>Googru検索</t>
  </si>
  <si>
    <t>検索DB作成</t>
  </si>
  <si>
    <t>検索ウィンドウUI作成</t>
  </si>
  <si>
    <t>検索アルゴリズム</t>
  </si>
  <si>
    <t>記事詳細ビュー</t>
  </si>
  <si>
    <t>検索履歴保存</t>
  </si>
  <si>
    <t>オカルトサイト表示</t>
  </si>
  <si>
    <t>メール機能</t>
  </si>
  <si>
    <t>メールUI画面作成</t>
  </si>
  <si>
    <t>データ送信機能</t>
  </si>
  <si>
    <t>設定画面</t>
  </si>
  <si>
    <t>設定ウィンドウUI作成</t>
  </si>
  <si>
    <t>音量スライダー連携</t>
  </si>
  <si>
    <t>解像度変更処理</t>
  </si>
  <si>
    <t>テキスト速度反映</t>
  </si>
  <si>
    <t>テキスト速度3段階化がMOCで未実装のため増加</t>
  </si>
  <si>
    <t>Localize切り替え反映</t>
  </si>
  <si>
    <t>設定保存処理</t>
  </si>
  <si>
    <t>便利ツール</t>
  </si>
  <si>
    <t>ゴミ箱ウィンドウ</t>
  </si>
  <si>
    <t>ゴミ箱空にする演出</t>
  </si>
  <si>
    <t>推し活アプリUI</t>
  </si>
  <si>
    <t>チートツールUI</t>
  </si>
  <si>
    <t>スキンシップ</t>
  </si>
  <si>
    <t>Spineプレハブ作成</t>
  </si>
  <si>
    <t>コライダー設定</t>
  </si>
  <si>
    <t>部位クリック検知</t>
  </si>
  <si>
    <t>パラメータ増減処理</t>
  </si>
  <si>
    <t>データ構造</t>
  </si>
  <si>
    <t>GlobalSaveData 定義</t>
  </si>
  <si>
    <t>本番ルート/エンド条件がMOCより増えるため微増</t>
  </si>
  <si>
    <t>LocalSaveData 定義</t>
  </si>
  <si>
    <t>データマネージャ作成</t>
  </si>
  <si>
    <t>進行管理（時間</t>
  </si>
  <si>
    <t>DayCycleManager 作成・ステートに内包予定</t>
  </si>
  <si>
    <t>行動消費 (AP) ロジック・ステートに内包予定</t>
  </si>
  <si>
    <t>日付変更処理</t>
  </si>
  <si>
    <t>14日目終了判定</t>
  </si>
  <si>
    <t>フラグ</t>
  </si>
  <si>
    <t>パラメータ管理</t>
  </si>
  <si>
    <t>パラメータ変動UI</t>
  </si>
  <si>
    <t>閾値監視 (即死判定)</t>
  </si>
  <si>
    <t>ゲージ演出</t>
  </si>
  <si>
    <t>死に戻り</t>
  </si>
  <si>
    <t>GameOver メソッド</t>
  </si>
  <si>
    <t>データリセット処理</t>
  </si>
  <si>
    <t>再開地点ロード</t>
  </si>
  <si>
    <t>強くてニューゲーム</t>
  </si>
  <si>
    <t>エンディング</t>
  </si>
  <si>
    <t>EndingList 作成</t>
  </si>
  <si>
    <t>本番の分岐/死亡/エンド条件の確認量を反映</t>
  </si>
  <si>
    <t>ED判定ロジック</t>
  </si>
  <si>
    <t>END回想ページ実装</t>
  </si>
  <si>
    <t>性格診断画面実装</t>
  </si>
  <si>
    <t>Ｌデータ分岐処理</t>
  </si>
  <si>
    <t>END判定ロジック互換性担保</t>
  </si>
  <si>
    <t>グリッチ</t>
  </si>
  <si>
    <t>シェーダー作成</t>
  </si>
  <si>
    <t>GlitchController 作成</t>
  </si>
  <si>
    <t>演出系データ別離処理</t>
  </si>
  <si>
    <t>グリッチLv分離・音同期など本番演出の詰めが残る</t>
  </si>
  <si>
    <t>マウスジャック</t>
  </si>
  <si>
    <t>入力ブロックフラグ</t>
  </si>
  <si>
    <t>偽カーソル生成</t>
  </si>
  <si>
    <t>強制移動アニメーション</t>
  </si>
  <si>
    <t>強制クリック処理</t>
  </si>
  <si>
    <t>キャラクター手画像追従</t>
  </si>
  <si>
    <t>偽装入力</t>
  </si>
  <si>
    <t>InputFieldフック</t>
  </si>
  <si>
    <t>入力時演出</t>
  </si>
  <si>
    <t>強制送信処理</t>
  </si>
  <si>
    <t>疑似クラッシュ</t>
  </si>
  <si>
    <t>BSOD画像表示</t>
  </si>
  <si>
    <t>偽タスクマネージャー</t>
  </si>
  <si>
    <t>偽アプリ終了</t>
  </si>
  <si>
    <t>動画連携</t>
  </si>
  <si>
    <t>RenderTexture準備</t>
  </si>
  <si>
    <t>VideoPlayer 制御</t>
  </si>
  <si>
    <t>再生終了検知</t>
  </si>
  <si>
    <t>Steam対応</t>
  </si>
  <si>
    <t>SteamManager 導入</t>
  </si>
  <si>
    <t>別建てQA枠へ移すため、旧仕上げ枠はやや圧縮</t>
  </si>
  <si>
    <t>SteamWorks実装</t>
  </si>
  <si>
    <t>実績API連携</t>
  </si>
  <si>
    <t>Steam Cloud設定</t>
  </si>
  <si>
    <t>DRM設定</t>
  </si>
  <si>
    <t>デバッグ機能</t>
  </si>
  <si>
    <t>デバッグメニューUI作成</t>
  </si>
  <si>
    <t>シーンジャンプ実装</t>
  </si>
  <si>
    <t>パラメータ編集機能</t>
  </si>
  <si>
    <t>全開放コマンド</t>
  </si>
  <si>
    <t>セーブデータ削除</t>
  </si>
  <si>
    <t>ログ表示機能</t>
  </si>
  <si>
    <t>ビルド設定</t>
  </si>
  <si>
    <t>ビルド実行 &amp; 確認</t>
  </si>
  <si>
    <t>ビルド自動化</t>
  </si>
  <si>
    <t>表情差分データ定義/インポート設定</t>
  </si>
  <si>
    <t>表情IDマスタ/Enum生成</t>
  </si>
  <si>
    <t>MOCはSprite/DOTween代替が多く、Spine/表情差分の本番化で増加</t>
  </si>
  <si>
    <t>Spine差分パーツRuntime切替確認</t>
  </si>
  <si>
    <t>表情ブレンド制御</t>
  </si>
  <si>
    <t>ホラー用Material/Attachment制御</t>
  </si>
  <si>
    <t>表情ステート優先度Resolver</t>
  </si>
  <si>
    <t>表情差分キャッシュ/遅延ロード</t>
  </si>
  <si>
    <t>Spineイベント/表情タグ同期</t>
  </si>
  <si>
    <t>Spine/静止画フォールバックResolver</t>
  </si>
  <si>
    <t>Atlas/メモリ使用量チェック</t>
  </si>
  <si>
    <t>表情タグ検証</t>
  </si>
  <si>
    <t>妹ちゃんタッチ判定エリア実装</t>
  </si>
  <si>
    <t>疑似デスクトップ上の入力優先度制御</t>
  </si>
  <si>
    <t>タッチ反応データテーブル接続</t>
  </si>
  <si>
    <t>パラメータ変動連携</t>
  </si>
  <si>
    <t>Spineリアクション再生</t>
  </si>
  <si>
    <t>タッチ反応キュー/キャンセル制御</t>
  </si>
  <si>
    <t>UI遮蔽/透過レイヤー検証</t>
  </si>
  <si>
    <t>反応ログ/チューニング出力</t>
  </si>
  <si>
    <t>連打/長押し/禁止操作の分岐</t>
  </si>
  <si>
    <t>クールタイム/暴発防止</t>
  </si>
  <si>
    <t>ボイス/SE同期</t>
  </si>
  <si>
    <t>タッチ履歴フラグ保存</t>
  </si>
  <si>
    <t>グリッチ演出採用ライン検証</t>
  </si>
  <si>
    <t>MOC検証で採否判断が進んだため剪定コストは圧縮</t>
  </si>
  <si>
    <t>疑似デスクトップ同時表示検証</t>
  </si>
  <si>
    <t>偽カーソルOS依存検証</t>
  </si>
  <si>
    <t>セーブ/ロード中の演出割り込み安全確認</t>
  </si>
  <si>
    <t>負荷予算確認</t>
  </si>
  <si>
    <t>演出設定のScriptableObject化</t>
  </si>
  <si>
    <t>ビルド別演出ON/OFFフラグ</t>
  </si>
  <si>
    <t>演出プリセット比較Scene</t>
  </si>
  <si>
    <t>ビルド用シナリオパス解決</t>
  </si>
  <si>
    <t>MOC消化力維持のため、Exe検証導線は旧見積を維持</t>
  </si>
  <si>
    <t>文字コード/ファイルパス検証</t>
  </si>
  <si>
    <t>シナリオBundleバージョン/Checksum</t>
  </si>
  <si>
    <t>シナリオ再読込デバッグ機能</t>
  </si>
  <si>
    <t>シナリオ構文チェック拡張</t>
  </si>
  <si>
    <t>行番号/再生中コマンド表示</t>
  </si>
  <si>
    <t>読込失敗時のエラー表示</t>
  </si>
  <si>
    <t>ビルド用デバッグメニューGate</t>
  </si>
  <si>
    <t>ログ出力/コピー機能</t>
  </si>
  <si>
    <t>追加仕様フラグビューア</t>
  </si>
  <si>
    <t>デバッグHUDの追加仕様タブ</t>
  </si>
  <si>
    <t>追加仕様Debug Overlay詳細化</t>
  </si>
  <si>
    <t>テスト用セーブプリセット</t>
  </si>
  <si>
    <t>デバッグコマンドライン引数</t>
  </si>
  <si>
    <t>Release/Debug Build Profile分離</t>
  </si>
  <si>
    <t>外部シナリオ差し替え保護</t>
  </si>
  <si>
    <t>内蔵シナリオFallback</t>
  </si>
  <si>
    <t>表情×タッチ反応マトリクス確認</t>
  </si>
  <si>
    <t>表情/タッチデータ検証テスト</t>
  </si>
  <si>
    <t>Windows Exe差分確認</t>
  </si>
  <si>
    <t>本番QAを別カテゴリで積み上げるため、既存統合枠は追加差分確認へ圧縮</t>
  </si>
  <si>
    <t>追加差分の回帰修正</t>
  </si>
  <si>
    <t>新パラメータ用テストデータ作成</t>
  </si>
  <si>
    <t>分岐到達ログの確認</t>
  </si>
  <si>
    <t>自動シナリオSmoke Runner</t>
  </si>
  <si>
    <t>10日進行×追加仕様通し導線</t>
  </si>
  <si>
    <t>追加状態のセーブSchema Versioning</t>
  </si>
  <si>
    <t>追加アセット参照のビルド前検査</t>
  </si>
  <si>
    <t>見送り演出の未参照確認</t>
  </si>
  <si>
    <t>Steam/製品ビルド設定との干渉確認</t>
  </si>
  <si>
    <t>セーブマイグレーション確認</t>
  </si>
  <si>
    <t>不確定演出の最終ON/OFF確認</t>
  </si>
  <si>
    <t>表情差分ロード順確認</t>
  </si>
  <si>
    <t>追加ED条件のDry Run</t>
  </si>
  <si>
    <t>タッチ入力の端末差分確認</t>
  </si>
  <si>
    <t>FB整理/優先度更新</t>
  </si>
  <si>
    <t>MOC FB 140件の実績を踏まえた整理・判断コスト</t>
  </si>
  <si>
    <t>高優先/進行不可FB修正</t>
  </si>
  <si>
    <t>高/モック必須の残件と本番での再発吸収</t>
  </si>
  <si>
    <t>中優先UI/演出テンポ調整</t>
  </si>
  <si>
    <t>MOCで多かった背景・LIME・通知・テンポ修正を反映</t>
  </si>
  <si>
    <t>LIME/通知/音まわりFB</t>
  </si>
  <si>
    <t>FBシート上で残ったLIME/音/通知系のまとまり</t>
  </si>
  <si>
    <t>低優先FBの採否/先送り整理</t>
  </si>
  <si>
    <t>低優先を全部実装せず、判断コストとして計上</t>
  </si>
  <si>
    <t>修正ビルド配布/再確認</t>
  </si>
  <si>
    <t>1.5週間で111件完了の消化力を前提にした確認往復</t>
  </si>
  <si>
    <t>テスト設計/チェックリスト</t>
  </si>
  <si>
    <t>QA全体を10人日に圧縮し、観点整理は最小限に再見積</t>
  </si>
  <si>
    <t>起動/主要アプリスモーク</t>
  </si>
  <si>
    <t>主要導線の短時間確認に限定して再見積</t>
  </si>
  <si>
    <t>DAY/ルート通し確認</t>
  </si>
  <si>
    <t>全量通しではなく代表ルート中心の確認として再見積</t>
  </si>
  <si>
    <t>エンド/即死条件確認</t>
  </si>
  <si>
    <t>全エンド網羅ではなく主要条件確認に圧縮</t>
  </si>
  <si>
    <t>解像度/操作/ウィンドウ回帰</t>
  </si>
  <si>
    <t>代表解像度と操作差分の確認に圧縮</t>
  </si>
  <si>
    <t>セーブ/設定/ログ永続化確認</t>
  </si>
  <si>
    <t>本番必須観点に絞って確認</t>
  </si>
  <si>
    <t>音/グリッチ/ホラー演出確認</t>
  </si>
  <si>
    <t>演出確認は代表パターン中心に圧縮</t>
  </si>
  <si>
    <t>修正確認/再発チェック</t>
  </si>
  <si>
    <t>FB修正後の再確認を最低限残す</t>
  </si>
  <si>
    <t>きみこい 本番見積（MOC検証後 MIN/MAX予算）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</si>
</sst>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8" formatCode="\¥#,##0"/>
  </numFmts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sz val="10"/>
      <name val="Meiryo UI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theme="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173A4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8FBFD"/>
      </patternFill>
    </fill>
    <fill>
      <patternFill patternType="solid">
        <fgColor rgb="FF4F6D7A"/>
      </patternFill>
    </fill>
    <fill>
      <patternFill patternType="solid">
        <fgColor rgb="FFE8F1F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/>
      <top/>
      <bottom style="hair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3" borderId="1" xfId="0" applyFont="1" applyFill="1" applyBorder="1" applyAlignment="1">
      <alignment horizontal="left" vertical="center"/>
    </xf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78" fontId="3" fillId="0" borderId="4" xfId="0" applyNumberFormat="1" applyFont="1" applyBorder="1"/>
    <xf numFmtId="4" fontId="3" fillId="0" borderId="4" xfId="0" applyNumberFormat="1" applyFont="1" applyBorder="1"/>
    <xf numFmtId="4" fontId="5" fillId="5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left" vertical="center" wrapText="1"/>
    </xf>
    <xf numFmtId="4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center" vertical="center"/>
    </xf>
    <xf numFmtId="0" fontId="0" fillId="0" borderId="5" xfId="0" applyBorder="1" applyAlignment="1">
      <alignment vertical="top" wrapText="1"/>
    </xf>
    <xf numFmtId="4" fontId="0" fillId="0" borderId="5" xfId="0" applyNumberFormat="1" applyBorder="1" applyAlignment="1">
      <alignment vertical="top" wrapText="1"/>
    </xf>
    <xf numFmtId="0" fontId="3" fillId="0" borderId="0" xfId="0" applyFont="1"/>
    <xf numFmtId="0" fontId="2" fillId="2" borderId="0" xfId="0" applyFont="1" applyFill="1" applyAlignment="1">
      <alignment horizontal="left" vertical="center"/>
    </xf>
    <xf numFmtId="178" fontId="3" fillId="0" borderId="0" xfId="0" applyNumberFormat="1" applyFont="1"/>
    <xf numFmtId="4" fontId="3" fillId="0" borderId="0" xfId="0" applyNumberFormat="1" applyFont="1"/>
    <xf numFmtId="1" fontId="3" fillId="0" borderId="0" xfId="0" applyNumberFormat="1" applyFont="1"/>
    <xf numFmtId="0" fontId="4" fillId="9" borderId="0" xfId="0" applyFont="1" applyFill="1" applyBorder="1" applyAlignment="1">
      <alignment horizontal="center" vertical="center"/>
    </xf>
    <xf numFmtId="4" fontId="4" fillId="9" borderId="0" xfId="0" applyNumberFormat="1" applyFont="1" applyFill="1" applyBorder="1" applyAlignment="1">
      <alignment horizontal="center" vertical="center"/>
    </xf>
    <xf numFmtId="178" fontId="4" fillId="9" borderId="0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vertical="top" wrapText="1"/>
    </xf>
    <xf numFmtId="4" fontId="6" fillId="8" borderId="6" xfId="0" applyNumberFormat="1" applyFont="1" applyFill="1" applyBorder="1" applyAlignment="1">
      <alignment vertical="top" wrapText="1"/>
    </xf>
    <xf numFmtId="4" fontId="6" fillId="7" borderId="6" xfId="0" applyNumberFormat="1" applyFont="1" applyFill="1" applyBorder="1" applyAlignment="1">
      <alignment vertical="top" wrapText="1"/>
    </xf>
    <xf numFmtId="178" fontId="6" fillId="8" borderId="6" xfId="0" applyNumberFormat="1" applyFont="1" applyFill="1" applyBorder="1" applyAlignment="1">
      <alignment vertical="top" wrapText="1"/>
    </xf>
    <xf numFmtId="178" fontId="3" fillId="0" borderId="6" xfId="0" applyNumberFormat="1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4" fontId="6" fillId="0" borderId="6" xfId="0" applyNumberFormat="1" applyFont="1" applyBorder="1" applyAlignment="1">
      <alignment vertical="top" wrapText="1"/>
    </xf>
    <xf numFmtId="178" fontId="6" fillId="0" borderId="6" xfId="0" applyNumberFormat="1" applyFont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4" fontId="4" fillId="3" borderId="6" xfId="0" applyNumberFormat="1" applyFont="1" applyFill="1" applyBorder="1" applyAlignment="1">
      <alignment vertical="top" wrapText="1"/>
    </xf>
    <xf numFmtId="178" fontId="4" fillId="3" borderId="6" xfId="0" applyNumberFormat="1" applyFont="1" applyFill="1" applyBorder="1" applyAlignment="1">
      <alignment vertical="top" wrapText="1"/>
    </xf>
    <xf numFmtId="4" fontId="3" fillId="0" borderId="6" xfId="0" applyNumberFormat="1" applyFont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5" fillId="10" borderId="6" xfId="0" applyFont="1" applyFill="1" applyBorder="1"/>
    <xf numFmtId="4" fontId="5" fillId="10" borderId="6" xfId="0" applyNumberFormat="1" applyFont="1" applyFill="1" applyBorder="1"/>
    <xf numFmtId="178" fontId="5" fillId="10" borderId="6" xfId="0" applyNumberFormat="1" applyFont="1" applyFill="1" applyBorder="1"/>
    <xf numFmtId="0" fontId="8" fillId="11" borderId="0" xfId="0" applyFont="1" applyFill="1" applyAlignment="1">
      <alignment horizontal="left" vertical="center"/>
    </xf>
    <xf numFmtId="0" fontId="8" fillId="11" borderId="4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1"/>
  <sheetViews>
    <sheetView showGridLines="0" tabSelected="1" workbookViewId="0">
      <pane xSplit="1" ySplit="15" topLeftCell="B16" activePane="bottomRight" state="frozen"/>
      <selection pane="topRight"/>
      <selection pane="bottomLeft"/>
      <selection pane="bottomRight" activeCell="F16" sqref="F16"/>
    </sheetView>
  </sheetViews>
  <sheetFormatPr defaultColWidth="32.5" defaultRowHeight="15.75" x14ac:dyDescent="0.25"/>
  <cols>
    <col min="1" max="1" width="3.125" style="1" customWidth="1"/>
    <col min="2" max="2" width="22.625" style="1" bestFit="1" customWidth="1"/>
    <col min="3" max="3" width="31.75" style="1" bestFit="1" customWidth="1"/>
    <col min="4" max="4" width="24.5" style="1" bestFit="1" customWidth="1"/>
    <col min="5" max="5" width="12.5" style="1" bestFit="1" customWidth="1"/>
    <col min="6" max="6" width="40.125" style="1" bestFit="1" customWidth="1"/>
    <col min="7" max="7" width="13.875" style="1" bestFit="1" customWidth="1"/>
    <col min="8" max="8" width="14.125" style="1" bestFit="1" customWidth="1"/>
    <col min="9" max="10" width="13.25" style="1" bestFit="1" customWidth="1"/>
    <col min="11" max="11" width="34.375" style="1" bestFit="1" customWidth="1"/>
    <col min="12" max="16384" width="32.5" style="1"/>
  </cols>
  <sheetData>
    <row r="1" spans="2:11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2:11" ht="21" x14ac:dyDescent="0.25">
      <c r="B2" s="28" t="s">
        <v>407</v>
      </c>
      <c r="C2" s="27"/>
      <c r="D2" s="27"/>
      <c r="E2" s="27"/>
      <c r="F2" s="27"/>
      <c r="G2" s="27"/>
      <c r="H2" s="27"/>
      <c r="I2" s="27"/>
      <c r="J2" s="27"/>
      <c r="K2" s="27"/>
    </row>
    <row r="3" spans="2:11" x14ac:dyDescent="0.25">
      <c r="B3" s="52" t="s">
        <v>0</v>
      </c>
      <c r="D3" s="29">
        <f>I31</f>
        <v>6830000</v>
      </c>
      <c r="E3" s="30" t="s">
        <v>1</v>
      </c>
      <c r="F3" s="30" t="s">
        <v>2</v>
      </c>
      <c r="G3" s="30"/>
      <c r="H3" s="30"/>
      <c r="I3" s="29"/>
      <c r="J3" s="29"/>
    </row>
    <row r="4" spans="2:11" x14ac:dyDescent="0.25">
      <c r="B4" s="53" t="s">
        <v>3</v>
      </c>
      <c r="C4" s="2"/>
      <c r="D4" s="10">
        <f>J31</f>
        <v>8099000</v>
      </c>
      <c r="E4" s="11" t="s">
        <v>1</v>
      </c>
      <c r="F4" s="11" t="s">
        <v>4</v>
      </c>
      <c r="G4" s="11"/>
      <c r="H4" s="11"/>
      <c r="I4" s="10"/>
      <c r="J4" s="29"/>
    </row>
    <row r="5" spans="2:11" x14ac:dyDescent="0.25">
      <c r="B5" s="3" t="s">
        <v>5</v>
      </c>
      <c r="C5" s="4"/>
      <c r="D5" s="12" t="s">
        <v>6</v>
      </c>
      <c r="E5" s="13"/>
      <c r="F5" s="14" t="s">
        <v>7</v>
      </c>
      <c r="G5" s="30"/>
      <c r="H5" s="30"/>
      <c r="I5" s="29"/>
      <c r="J5" s="29"/>
    </row>
    <row r="6" spans="2:11" x14ac:dyDescent="0.25">
      <c r="B6" s="3" t="s">
        <v>8</v>
      </c>
      <c r="C6" s="4"/>
      <c r="D6" s="15">
        <f>E31</f>
        <v>155</v>
      </c>
      <c r="E6" s="13" t="s">
        <v>9</v>
      </c>
      <c r="F6" s="14" t="s">
        <v>10</v>
      </c>
      <c r="G6" s="30"/>
      <c r="H6" s="30"/>
      <c r="I6" s="29"/>
      <c r="J6" s="29"/>
    </row>
    <row r="7" spans="2:11" x14ac:dyDescent="0.25">
      <c r="B7" s="3" t="s">
        <v>11</v>
      </c>
      <c r="C7" s="4"/>
      <c r="D7" s="15">
        <f>F31</f>
        <v>183.79999999999998</v>
      </c>
      <c r="E7" s="13" t="s">
        <v>9</v>
      </c>
      <c r="F7" s="14" t="s">
        <v>12</v>
      </c>
      <c r="G7" s="30"/>
      <c r="H7" s="30"/>
      <c r="I7" s="29"/>
      <c r="J7" s="29"/>
    </row>
    <row r="8" spans="2:11" x14ac:dyDescent="0.25">
      <c r="B8" s="3" t="s">
        <v>13</v>
      </c>
      <c r="C8" s="4"/>
      <c r="D8" s="16">
        <v>1.2</v>
      </c>
      <c r="E8" s="13" t="s">
        <v>14</v>
      </c>
      <c r="F8" s="14" t="s">
        <v>15</v>
      </c>
      <c r="G8" s="30"/>
      <c r="H8" s="30"/>
      <c r="I8" s="29"/>
      <c r="J8" s="29"/>
    </row>
    <row r="9" spans="2:11" x14ac:dyDescent="0.25">
      <c r="B9" s="3" t="s">
        <v>16</v>
      </c>
      <c r="C9" s="4"/>
      <c r="D9" s="15">
        <f>G31</f>
        <v>185.99999999999997</v>
      </c>
      <c r="E9" s="13" t="s">
        <v>9</v>
      </c>
      <c r="F9" s="14" t="s">
        <v>17</v>
      </c>
      <c r="G9" s="30"/>
      <c r="H9" s="30"/>
      <c r="I9" s="29"/>
      <c r="J9" s="29"/>
    </row>
    <row r="10" spans="2:11" x14ac:dyDescent="0.25">
      <c r="B10" s="3" t="s">
        <v>18</v>
      </c>
      <c r="C10" s="4"/>
      <c r="D10" s="12">
        <f>H31</f>
        <v>220.56</v>
      </c>
      <c r="E10" s="13" t="s">
        <v>9</v>
      </c>
      <c r="F10" s="14" t="s">
        <v>19</v>
      </c>
      <c r="G10" s="30"/>
      <c r="H10" s="30"/>
      <c r="I10" s="29"/>
      <c r="J10" s="29"/>
    </row>
    <row r="11" spans="2:11" x14ac:dyDescent="0.25">
      <c r="B11" s="1" t="s">
        <v>20</v>
      </c>
      <c r="D11" s="31">
        <v>8</v>
      </c>
      <c r="E11" s="30" t="s">
        <v>21</v>
      </c>
      <c r="F11" s="30" t="s">
        <v>22</v>
      </c>
      <c r="G11" s="30"/>
      <c r="H11" s="30"/>
      <c r="I11" s="29"/>
      <c r="J11" s="29"/>
    </row>
    <row r="12" spans="2:11" x14ac:dyDescent="0.25">
      <c r="B12" s="5" t="s">
        <v>23</v>
      </c>
      <c r="C12" s="5"/>
      <c r="D12" s="17">
        <v>4590</v>
      </c>
      <c r="E12" s="18" t="s">
        <v>24</v>
      </c>
      <c r="F12" s="18" t="s">
        <v>25</v>
      </c>
      <c r="G12" s="18"/>
      <c r="H12" s="18"/>
      <c r="I12" s="17"/>
      <c r="J12" s="29"/>
    </row>
    <row r="13" spans="2:11" x14ac:dyDescent="0.25">
      <c r="B13" s="6"/>
      <c r="C13" s="7"/>
      <c r="D13" s="19"/>
      <c r="E13" s="19"/>
      <c r="F13" s="20"/>
      <c r="G13" s="20"/>
      <c r="H13" s="20"/>
      <c r="I13" s="21"/>
      <c r="J13" s="29"/>
    </row>
    <row r="14" spans="2:11" x14ac:dyDescent="0.25">
      <c r="B14" s="8"/>
      <c r="C14" s="9"/>
      <c r="D14" s="22"/>
      <c r="E14" s="22"/>
      <c r="F14" s="20"/>
      <c r="G14" s="20"/>
      <c r="H14" s="20"/>
      <c r="I14" s="23"/>
      <c r="J14" s="29"/>
    </row>
    <row r="15" spans="2:11" x14ac:dyDescent="0.25">
      <c r="B15" s="32" t="s">
        <v>26</v>
      </c>
      <c r="C15" s="32" t="s">
        <v>27</v>
      </c>
      <c r="D15" s="33" t="s">
        <v>28</v>
      </c>
      <c r="E15" s="33" t="s">
        <v>29</v>
      </c>
      <c r="F15" s="33" t="s">
        <v>30</v>
      </c>
      <c r="G15" s="33" t="s">
        <v>31</v>
      </c>
      <c r="H15" s="33" t="s">
        <v>32</v>
      </c>
      <c r="I15" s="34" t="s">
        <v>33</v>
      </c>
      <c r="J15" s="34" t="s">
        <v>34</v>
      </c>
      <c r="K15" s="32" t="s">
        <v>35</v>
      </c>
    </row>
    <row r="16" spans="2:11" ht="31.5" x14ac:dyDescent="0.25">
      <c r="B16" s="35">
        <v>1</v>
      </c>
      <c r="C16" s="35" t="s">
        <v>36</v>
      </c>
      <c r="D16" s="36">
        <v>17</v>
      </c>
      <c r="E16" s="36">
        <v>4.7</v>
      </c>
      <c r="F16" s="37">
        <v>5.6</v>
      </c>
      <c r="G16" s="37">
        <f t="shared" ref="G16:G30" si="0">ROUND(E16*$D$8,2)</f>
        <v>5.64</v>
      </c>
      <c r="H16" s="37">
        <f t="shared" ref="H16:H30" si="1">ROUND(F16*$D$8,2)</f>
        <v>6.72</v>
      </c>
      <c r="I16" s="38">
        <f t="shared" ref="I16:I30" si="2">ROUND(G16*$D$11*$D$12,-3)</f>
        <v>207000</v>
      </c>
      <c r="J16" s="39">
        <f t="shared" ref="J16:J30" si="3">ROUND(H16*$D$11*$D$12,-3)</f>
        <v>247000</v>
      </c>
      <c r="K16" s="40" t="s">
        <v>37</v>
      </c>
    </row>
    <row r="17" spans="2:11" ht="31.5" x14ac:dyDescent="0.25">
      <c r="B17" s="41">
        <v>2</v>
      </c>
      <c r="C17" s="41" t="s">
        <v>38</v>
      </c>
      <c r="D17" s="42">
        <v>19</v>
      </c>
      <c r="E17" s="42">
        <v>4.5999999999999996</v>
      </c>
      <c r="F17" s="37">
        <v>5</v>
      </c>
      <c r="G17" s="37">
        <f t="shared" si="0"/>
        <v>5.52</v>
      </c>
      <c r="H17" s="37">
        <f t="shared" si="1"/>
        <v>6</v>
      </c>
      <c r="I17" s="43">
        <f t="shared" si="2"/>
        <v>203000</v>
      </c>
      <c r="J17" s="39">
        <f t="shared" si="3"/>
        <v>220000</v>
      </c>
      <c r="K17" s="40" t="s">
        <v>39</v>
      </c>
    </row>
    <row r="18" spans="2:11" ht="31.5" x14ac:dyDescent="0.25">
      <c r="B18" s="35">
        <v>3</v>
      </c>
      <c r="C18" s="35" t="s">
        <v>40</v>
      </c>
      <c r="D18" s="36">
        <v>17</v>
      </c>
      <c r="E18" s="36">
        <v>13.6</v>
      </c>
      <c r="F18" s="37">
        <v>16.2</v>
      </c>
      <c r="G18" s="37">
        <f t="shared" si="0"/>
        <v>16.32</v>
      </c>
      <c r="H18" s="37">
        <f t="shared" si="1"/>
        <v>19.440000000000001</v>
      </c>
      <c r="I18" s="38">
        <f t="shared" si="2"/>
        <v>599000</v>
      </c>
      <c r="J18" s="39">
        <f t="shared" si="3"/>
        <v>714000</v>
      </c>
      <c r="K18" s="40" t="s">
        <v>41</v>
      </c>
    </row>
    <row r="19" spans="2:11" ht="31.5" x14ac:dyDescent="0.25">
      <c r="B19" s="41">
        <v>4</v>
      </c>
      <c r="C19" s="41" t="s">
        <v>42</v>
      </c>
      <c r="D19" s="42">
        <v>47</v>
      </c>
      <c r="E19" s="42">
        <v>28.8</v>
      </c>
      <c r="F19" s="37">
        <v>33.4</v>
      </c>
      <c r="G19" s="37">
        <f t="shared" si="0"/>
        <v>34.56</v>
      </c>
      <c r="H19" s="37">
        <f t="shared" si="1"/>
        <v>40.08</v>
      </c>
      <c r="I19" s="43">
        <f t="shared" si="2"/>
        <v>1269000</v>
      </c>
      <c r="J19" s="39">
        <f t="shared" si="3"/>
        <v>1472000</v>
      </c>
      <c r="K19" s="40" t="s">
        <v>43</v>
      </c>
    </row>
    <row r="20" spans="2:11" ht="31.5" x14ac:dyDescent="0.25">
      <c r="B20" s="35">
        <v>5</v>
      </c>
      <c r="C20" s="35" t="s">
        <v>44</v>
      </c>
      <c r="D20" s="36">
        <v>34</v>
      </c>
      <c r="E20" s="36">
        <v>17.399999999999999</v>
      </c>
      <c r="F20" s="37">
        <v>20.399999999999999</v>
      </c>
      <c r="G20" s="37">
        <f t="shared" si="0"/>
        <v>20.88</v>
      </c>
      <c r="H20" s="37">
        <f t="shared" si="1"/>
        <v>24.48</v>
      </c>
      <c r="I20" s="38">
        <f t="shared" si="2"/>
        <v>767000</v>
      </c>
      <c r="J20" s="39">
        <f t="shared" si="3"/>
        <v>899000</v>
      </c>
      <c r="K20" s="40" t="s">
        <v>45</v>
      </c>
    </row>
    <row r="21" spans="2:11" ht="31.5" x14ac:dyDescent="0.25">
      <c r="B21" s="41">
        <v>6</v>
      </c>
      <c r="C21" s="41" t="s">
        <v>46</v>
      </c>
      <c r="D21" s="42">
        <v>21</v>
      </c>
      <c r="E21" s="42">
        <v>13.4</v>
      </c>
      <c r="F21" s="37">
        <v>16.2</v>
      </c>
      <c r="G21" s="37">
        <f t="shared" si="0"/>
        <v>16.079999999999998</v>
      </c>
      <c r="H21" s="37">
        <f t="shared" si="1"/>
        <v>19.440000000000001</v>
      </c>
      <c r="I21" s="43">
        <f t="shared" si="2"/>
        <v>590000</v>
      </c>
      <c r="J21" s="39">
        <f t="shared" si="3"/>
        <v>714000</v>
      </c>
      <c r="K21" s="40" t="s">
        <v>47</v>
      </c>
    </row>
    <row r="22" spans="2:11" ht="31.5" x14ac:dyDescent="0.25">
      <c r="B22" s="35">
        <v>7</v>
      </c>
      <c r="C22" s="35" t="s">
        <v>48</v>
      </c>
      <c r="D22" s="36">
        <v>17</v>
      </c>
      <c r="E22" s="36">
        <v>8.3000000000000007</v>
      </c>
      <c r="F22" s="37">
        <v>9.6</v>
      </c>
      <c r="G22" s="37">
        <f t="shared" si="0"/>
        <v>9.9600000000000009</v>
      </c>
      <c r="H22" s="37">
        <f t="shared" si="1"/>
        <v>11.52</v>
      </c>
      <c r="I22" s="38">
        <f t="shared" si="2"/>
        <v>366000</v>
      </c>
      <c r="J22" s="39">
        <f t="shared" si="3"/>
        <v>423000</v>
      </c>
      <c r="K22" s="40" t="s">
        <v>49</v>
      </c>
    </row>
    <row r="23" spans="2:11" x14ac:dyDescent="0.25">
      <c r="B23" s="41">
        <v>8</v>
      </c>
      <c r="C23" s="41" t="s">
        <v>50</v>
      </c>
      <c r="D23" s="42">
        <v>13</v>
      </c>
      <c r="E23" s="42">
        <v>5.5</v>
      </c>
      <c r="F23" s="37">
        <v>6.5</v>
      </c>
      <c r="G23" s="37">
        <f t="shared" si="0"/>
        <v>6.6</v>
      </c>
      <c r="H23" s="37">
        <f t="shared" si="1"/>
        <v>7.8</v>
      </c>
      <c r="I23" s="43">
        <f t="shared" si="2"/>
        <v>242000</v>
      </c>
      <c r="J23" s="39">
        <f t="shared" si="3"/>
        <v>286000</v>
      </c>
      <c r="K23" s="40" t="s">
        <v>51</v>
      </c>
    </row>
    <row r="24" spans="2:11" x14ac:dyDescent="0.25">
      <c r="B24" s="35">
        <v>9</v>
      </c>
      <c r="C24" s="35" t="s">
        <v>52</v>
      </c>
      <c r="D24" s="36">
        <v>11</v>
      </c>
      <c r="E24" s="36">
        <v>7.4</v>
      </c>
      <c r="F24" s="37">
        <v>8.8000000000000007</v>
      </c>
      <c r="G24" s="37">
        <f t="shared" si="0"/>
        <v>8.8800000000000008</v>
      </c>
      <c r="H24" s="37">
        <f t="shared" si="1"/>
        <v>10.56</v>
      </c>
      <c r="I24" s="38">
        <f t="shared" si="2"/>
        <v>326000</v>
      </c>
      <c r="J24" s="39">
        <f t="shared" si="3"/>
        <v>388000</v>
      </c>
      <c r="K24" s="40" t="s">
        <v>52</v>
      </c>
    </row>
    <row r="25" spans="2:11" x14ac:dyDescent="0.25">
      <c r="B25" s="41">
        <v>10</v>
      </c>
      <c r="C25" s="41" t="s">
        <v>53</v>
      </c>
      <c r="D25" s="42">
        <v>12</v>
      </c>
      <c r="E25" s="42">
        <v>8.1999999999999993</v>
      </c>
      <c r="F25" s="37">
        <v>9.6999999999999993</v>
      </c>
      <c r="G25" s="37">
        <f t="shared" si="0"/>
        <v>9.84</v>
      </c>
      <c r="H25" s="37">
        <f t="shared" si="1"/>
        <v>11.64</v>
      </c>
      <c r="I25" s="43">
        <f t="shared" si="2"/>
        <v>361000</v>
      </c>
      <c r="J25" s="39">
        <f t="shared" si="3"/>
        <v>427000</v>
      </c>
      <c r="K25" s="40" t="s">
        <v>53</v>
      </c>
    </row>
    <row r="26" spans="2:11" x14ac:dyDescent="0.25">
      <c r="B26" s="44">
        <v>11</v>
      </c>
      <c r="C26" s="44" t="s">
        <v>54</v>
      </c>
      <c r="D26" s="45">
        <v>8</v>
      </c>
      <c r="E26" s="45">
        <v>3.5</v>
      </c>
      <c r="F26" s="45">
        <v>3.8</v>
      </c>
      <c r="G26" s="45">
        <f t="shared" si="0"/>
        <v>4.2</v>
      </c>
      <c r="H26" s="45">
        <f t="shared" si="1"/>
        <v>4.5599999999999996</v>
      </c>
      <c r="I26" s="46">
        <f t="shared" si="2"/>
        <v>154000</v>
      </c>
      <c r="J26" s="39">
        <f t="shared" si="3"/>
        <v>167000</v>
      </c>
      <c r="K26" s="40" t="s">
        <v>54</v>
      </c>
    </row>
    <row r="27" spans="2:11" x14ac:dyDescent="0.25">
      <c r="B27" s="40">
        <v>12</v>
      </c>
      <c r="C27" s="40" t="s">
        <v>55</v>
      </c>
      <c r="D27" s="47">
        <v>17</v>
      </c>
      <c r="E27" s="47">
        <v>8.1</v>
      </c>
      <c r="F27" s="47">
        <v>9.9</v>
      </c>
      <c r="G27" s="47">
        <f t="shared" si="0"/>
        <v>9.7200000000000006</v>
      </c>
      <c r="H27" s="47">
        <f t="shared" si="1"/>
        <v>11.88</v>
      </c>
      <c r="I27" s="39">
        <f t="shared" si="2"/>
        <v>357000</v>
      </c>
      <c r="J27" s="39">
        <f t="shared" si="3"/>
        <v>436000</v>
      </c>
      <c r="K27" s="40" t="s">
        <v>55</v>
      </c>
    </row>
    <row r="28" spans="2:11" x14ac:dyDescent="0.25">
      <c r="B28" s="40">
        <v>13</v>
      </c>
      <c r="C28" s="40" t="s">
        <v>56</v>
      </c>
      <c r="D28" s="47">
        <v>17</v>
      </c>
      <c r="E28" s="47">
        <v>6.6</v>
      </c>
      <c r="F28" s="47">
        <v>8.5</v>
      </c>
      <c r="G28" s="47">
        <f t="shared" si="0"/>
        <v>7.92</v>
      </c>
      <c r="H28" s="47">
        <f t="shared" si="1"/>
        <v>10.199999999999999</v>
      </c>
      <c r="I28" s="39">
        <f t="shared" si="2"/>
        <v>291000</v>
      </c>
      <c r="J28" s="39">
        <f t="shared" si="3"/>
        <v>375000</v>
      </c>
      <c r="K28" s="40" t="s">
        <v>56</v>
      </c>
    </row>
    <row r="29" spans="2:11" x14ac:dyDescent="0.25">
      <c r="B29" s="48">
        <v>14</v>
      </c>
      <c r="C29" s="40" t="s">
        <v>57</v>
      </c>
      <c r="D29" s="47">
        <v>6</v>
      </c>
      <c r="E29" s="47">
        <v>16.899999999999999</v>
      </c>
      <c r="F29" s="47">
        <v>20.2</v>
      </c>
      <c r="G29" s="47">
        <f t="shared" si="0"/>
        <v>20.28</v>
      </c>
      <c r="H29" s="47">
        <f t="shared" si="1"/>
        <v>24.24</v>
      </c>
      <c r="I29" s="39">
        <f t="shared" si="2"/>
        <v>745000</v>
      </c>
      <c r="J29" s="39">
        <f t="shared" si="3"/>
        <v>890000</v>
      </c>
      <c r="K29" s="40" t="s">
        <v>58</v>
      </c>
    </row>
    <row r="30" spans="2:11" x14ac:dyDescent="0.25">
      <c r="B30" s="40">
        <v>15</v>
      </c>
      <c r="C30" s="40" t="s">
        <v>59</v>
      </c>
      <c r="D30" s="47">
        <v>8</v>
      </c>
      <c r="E30" s="47">
        <v>8</v>
      </c>
      <c r="F30" s="47">
        <v>10</v>
      </c>
      <c r="G30" s="47">
        <f t="shared" si="0"/>
        <v>9.6</v>
      </c>
      <c r="H30" s="47">
        <f t="shared" si="1"/>
        <v>12</v>
      </c>
      <c r="I30" s="39">
        <f t="shared" si="2"/>
        <v>353000</v>
      </c>
      <c r="J30" s="39">
        <f t="shared" si="3"/>
        <v>441000</v>
      </c>
      <c r="K30" s="40" t="s">
        <v>60</v>
      </c>
    </row>
    <row r="31" spans="2:11" x14ac:dyDescent="0.25">
      <c r="B31" s="49"/>
      <c r="C31" s="49" t="s">
        <v>61</v>
      </c>
      <c r="D31" s="50">
        <f t="shared" ref="D31:J31" si="4">SUM(D16:D30)</f>
        <v>264</v>
      </c>
      <c r="E31" s="50">
        <f t="shared" si="4"/>
        <v>155</v>
      </c>
      <c r="F31" s="50">
        <f t="shared" si="4"/>
        <v>183.79999999999998</v>
      </c>
      <c r="G31" s="50">
        <f t="shared" si="4"/>
        <v>185.99999999999997</v>
      </c>
      <c r="H31" s="50">
        <f t="shared" si="4"/>
        <v>220.56</v>
      </c>
      <c r="I31" s="51">
        <f t="shared" si="4"/>
        <v>6830000</v>
      </c>
      <c r="J31" s="51">
        <f t="shared" si="4"/>
        <v>8099000</v>
      </c>
      <c r="K31" s="49"/>
    </row>
  </sheetData>
  <autoFilter ref="B12:I26"/>
  <mergeCells count="2">
    <mergeCell ref="B1:K1"/>
    <mergeCell ref="B2:K2"/>
  </mergeCells>
  <phoneticPr fontId="1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6" customWidth="1"/>
    <col min="3" max="3" width="24" customWidth="1"/>
    <col min="4" max="4" width="52" customWidth="1"/>
    <col min="5" max="6" width="10" customWidth="1"/>
    <col min="7" max="8" width="12" customWidth="1"/>
    <col min="9" max="9" width="58" customWidth="1"/>
  </cols>
  <sheetData>
    <row r="1" spans="1:9" x14ac:dyDescent="0.15">
      <c r="A1" s="24" t="s">
        <v>26</v>
      </c>
      <c r="B1" s="24" t="s">
        <v>27</v>
      </c>
      <c r="C1" s="24" t="s">
        <v>62</v>
      </c>
      <c r="D1" s="24" t="s">
        <v>63</v>
      </c>
      <c r="E1" s="24" t="s">
        <v>29</v>
      </c>
      <c r="F1" s="24" t="s">
        <v>30</v>
      </c>
      <c r="G1" s="24" t="s">
        <v>31</v>
      </c>
      <c r="H1" s="24" t="s">
        <v>32</v>
      </c>
      <c r="I1" s="24" t="s">
        <v>64</v>
      </c>
    </row>
    <row r="2" spans="1:9" x14ac:dyDescent="0.15">
      <c r="A2" s="25">
        <v>1</v>
      </c>
      <c r="B2" s="25" t="s">
        <v>36</v>
      </c>
      <c r="C2" s="25" t="s">
        <v>65</v>
      </c>
      <c r="D2" s="25" t="s">
        <v>65</v>
      </c>
      <c r="E2" s="26">
        <v>0.1</v>
      </c>
      <c r="F2" s="26">
        <v>0.1</v>
      </c>
      <c r="G2" s="26">
        <f>ROUND(E2*見積!$D$8,2)</f>
        <v>0.12</v>
      </c>
      <c r="H2" s="26">
        <f>ROUND(F2*見積!$D$8,2)</f>
        <v>0.12</v>
      </c>
      <c r="I2" s="25" t="s">
        <v>66</v>
      </c>
    </row>
    <row r="3" spans="1:9" x14ac:dyDescent="0.15">
      <c r="A3" s="25">
        <v>2</v>
      </c>
      <c r="B3" s="25" t="s">
        <v>36</v>
      </c>
      <c r="C3" s="25" t="s">
        <v>65</v>
      </c>
      <c r="D3" s="25" t="s">
        <v>67</v>
      </c>
      <c r="E3" s="26">
        <v>0.6</v>
      </c>
      <c r="F3" s="26">
        <v>0.8</v>
      </c>
      <c r="G3" s="26">
        <f>ROUND(E3*見積!$D$8,2)</f>
        <v>0.72</v>
      </c>
      <c r="H3" s="26">
        <f>ROUND(F3*見積!$D$8,2)</f>
        <v>0.96</v>
      </c>
      <c r="I3" s="25" t="s">
        <v>66</v>
      </c>
    </row>
    <row r="4" spans="1:9" x14ac:dyDescent="0.15">
      <c r="A4" s="25">
        <v>3</v>
      </c>
      <c r="B4" s="25" t="s">
        <v>36</v>
      </c>
      <c r="C4" s="25" t="s">
        <v>68</v>
      </c>
      <c r="D4" s="25" t="s">
        <v>69</v>
      </c>
      <c r="E4" s="26">
        <v>0.1</v>
      </c>
      <c r="F4" s="26">
        <v>0.1</v>
      </c>
      <c r="G4" s="26">
        <f>ROUND(E4*見積!$D$8,2)</f>
        <v>0.12</v>
      </c>
      <c r="H4" s="26">
        <f>ROUND(F4*見積!$D$8,2)</f>
        <v>0.12</v>
      </c>
      <c r="I4" s="25" t="s">
        <v>66</v>
      </c>
    </row>
    <row r="5" spans="1:9" x14ac:dyDescent="0.15">
      <c r="A5" s="25">
        <v>4</v>
      </c>
      <c r="B5" s="25" t="s">
        <v>36</v>
      </c>
      <c r="C5" s="25" t="s">
        <v>68</v>
      </c>
      <c r="D5" s="25" t="s">
        <v>70</v>
      </c>
      <c r="E5" s="26">
        <v>0.1</v>
      </c>
      <c r="F5" s="26">
        <v>0.1</v>
      </c>
      <c r="G5" s="26">
        <f>ROUND(E5*見積!$D$8,2)</f>
        <v>0.12</v>
      </c>
      <c r="H5" s="26">
        <f>ROUND(F5*見積!$D$8,2)</f>
        <v>0.12</v>
      </c>
      <c r="I5" s="25" t="s">
        <v>66</v>
      </c>
    </row>
    <row r="6" spans="1:9" x14ac:dyDescent="0.15">
      <c r="A6" s="25">
        <v>5</v>
      </c>
      <c r="B6" s="25" t="s">
        <v>36</v>
      </c>
      <c r="C6" s="25" t="s">
        <v>68</v>
      </c>
      <c r="D6" s="25" t="s">
        <v>71</v>
      </c>
      <c r="E6" s="26">
        <v>0.1</v>
      </c>
      <c r="F6" s="26">
        <v>0.1</v>
      </c>
      <c r="G6" s="26">
        <f>ROUND(E6*見積!$D$8,2)</f>
        <v>0.12</v>
      </c>
      <c r="H6" s="26">
        <f>ROUND(F6*見積!$D$8,2)</f>
        <v>0.12</v>
      </c>
      <c r="I6" s="25" t="s">
        <v>66</v>
      </c>
    </row>
    <row r="7" spans="1:9" x14ac:dyDescent="0.15">
      <c r="A7" s="25">
        <v>6</v>
      </c>
      <c r="B7" s="25" t="s">
        <v>36</v>
      </c>
      <c r="C7" s="25" t="s">
        <v>68</v>
      </c>
      <c r="D7" s="25" t="s">
        <v>67</v>
      </c>
      <c r="E7" s="26">
        <v>0.6</v>
      </c>
      <c r="F7" s="26">
        <v>0.8</v>
      </c>
      <c r="G7" s="26">
        <f>ROUND(E7*見積!$D$8,2)</f>
        <v>0.72</v>
      </c>
      <c r="H7" s="26">
        <f>ROUND(F7*見積!$D$8,2)</f>
        <v>0.96</v>
      </c>
      <c r="I7" s="25" t="s">
        <v>66</v>
      </c>
    </row>
    <row r="8" spans="1:9" x14ac:dyDescent="0.15">
      <c r="A8" s="25">
        <v>7</v>
      </c>
      <c r="B8" s="25" t="s">
        <v>36</v>
      </c>
      <c r="C8" s="25" t="s">
        <v>72</v>
      </c>
      <c r="D8" s="25" t="s">
        <v>73</v>
      </c>
      <c r="E8" s="26">
        <v>0.2</v>
      </c>
      <c r="F8" s="26">
        <v>0.2</v>
      </c>
      <c r="G8" s="26">
        <f>ROUND(E8*見積!$D$8,2)</f>
        <v>0.24</v>
      </c>
      <c r="H8" s="26">
        <f>ROUND(F8*見積!$D$8,2)</f>
        <v>0.24</v>
      </c>
      <c r="I8" s="25" t="s">
        <v>66</v>
      </c>
    </row>
    <row r="9" spans="1:9" x14ac:dyDescent="0.15">
      <c r="A9" s="25">
        <v>8</v>
      </c>
      <c r="B9" s="25" t="s">
        <v>36</v>
      </c>
      <c r="C9" s="25" t="s">
        <v>74</v>
      </c>
      <c r="D9" s="25" t="s">
        <v>75</v>
      </c>
      <c r="E9" s="26">
        <v>0.1</v>
      </c>
      <c r="F9" s="26">
        <v>0.1</v>
      </c>
      <c r="G9" s="26">
        <f>ROUND(E9*見積!$D$8,2)</f>
        <v>0.12</v>
      </c>
      <c r="H9" s="26">
        <f>ROUND(F9*見積!$D$8,2)</f>
        <v>0.12</v>
      </c>
      <c r="I9" s="25" t="s">
        <v>66</v>
      </c>
    </row>
    <row r="10" spans="1:9" x14ac:dyDescent="0.15">
      <c r="A10" s="25">
        <v>9</v>
      </c>
      <c r="B10" s="25" t="s">
        <v>36</v>
      </c>
      <c r="C10" s="25" t="s">
        <v>74</v>
      </c>
      <c r="D10" s="25" t="s">
        <v>76</v>
      </c>
      <c r="E10" s="26">
        <v>0.1</v>
      </c>
      <c r="F10" s="26">
        <v>0.1</v>
      </c>
      <c r="G10" s="26">
        <f>ROUND(E10*見積!$D$8,2)</f>
        <v>0.12</v>
      </c>
      <c r="H10" s="26">
        <f>ROUND(F10*見積!$D$8,2)</f>
        <v>0.12</v>
      </c>
      <c r="I10" s="25" t="s">
        <v>66</v>
      </c>
    </row>
    <row r="11" spans="1:9" x14ac:dyDescent="0.15">
      <c r="A11" s="25">
        <v>10</v>
      </c>
      <c r="B11" s="25" t="s">
        <v>36</v>
      </c>
      <c r="C11" s="25" t="s">
        <v>74</v>
      </c>
      <c r="D11" s="25" t="s">
        <v>77</v>
      </c>
      <c r="E11" s="26">
        <v>0.1</v>
      </c>
      <c r="F11" s="26">
        <v>0.1</v>
      </c>
      <c r="G11" s="26">
        <f>ROUND(E11*見積!$D$8,2)</f>
        <v>0.12</v>
      </c>
      <c r="H11" s="26">
        <f>ROUND(F11*見積!$D$8,2)</f>
        <v>0.12</v>
      </c>
      <c r="I11" s="25" t="s">
        <v>66</v>
      </c>
    </row>
    <row r="12" spans="1:9" x14ac:dyDescent="0.15">
      <c r="A12" s="25">
        <v>11</v>
      </c>
      <c r="B12" s="25" t="s">
        <v>36</v>
      </c>
      <c r="C12" s="25" t="s">
        <v>74</v>
      </c>
      <c r="D12" s="25" t="s">
        <v>78</v>
      </c>
      <c r="E12" s="26">
        <v>0.1</v>
      </c>
      <c r="F12" s="26">
        <v>0.1</v>
      </c>
      <c r="G12" s="26">
        <f>ROUND(E12*見積!$D$8,2)</f>
        <v>0.12</v>
      </c>
      <c r="H12" s="26">
        <f>ROUND(F12*見積!$D$8,2)</f>
        <v>0.12</v>
      </c>
      <c r="I12" s="25" t="s">
        <v>79</v>
      </c>
    </row>
    <row r="13" spans="1:9" x14ac:dyDescent="0.15">
      <c r="A13" s="25">
        <v>12</v>
      </c>
      <c r="B13" s="25" t="s">
        <v>36</v>
      </c>
      <c r="C13" s="25" t="s">
        <v>74</v>
      </c>
      <c r="D13" s="25" t="s">
        <v>80</v>
      </c>
      <c r="E13" s="26">
        <v>0.2</v>
      </c>
      <c r="F13" s="26">
        <v>0.2</v>
      </c>
      <c r="G13" s="26">
        <f>ROUND(E13*見積!$D$8,2)</f>
        <v>0.24</v>
      </c>
      <c r="H13" s="26">
        <f>ROUND(F13*見積!$D$8,2)</f>
        <v>0.24</v>
      </c>
      <c r="I13" s="25" t="s">
        <v>66</v>
      </c>
    </row>
    <row r="14" spans="1:9" x14ac:dyDescent="0.15">
      <c r="A14" s="25">
        <v>13</v>
      </c>
      <c r="B14" s="25" t="s">
        <v>36</v>
      </c>
      <c r="C14" s="25" t="s">
        <v>74</v>
      </c>
      <c r="D14" s="25" t="s">
        <v>81</v>
      </c>
      <c r="E14" s="26">
        <v>0.1</v>
      </c>
      <c r="F14" s="26">
        <v>0.1</v>
      </c>
      <c r="G14" s="26">
        <f>ROUND(E14*見積!$D$8,2)</f>
        <v>0.12</v>
      </c>
      <c r="H14" s="26">
        <f>ROUND(F14*見積!$D$8,2)</f>
        <v>0.12</v>
      </c>
      <c r="I14" s="25" t="s">
        <v>66</v>
      </c>
    </row>
    <row r="15" spans="1:9" x14ac:dyDescent="0.15">
      <c r="A15" s="25">
        <v>14</v>
      </c>
      <c r="B15" s="25" t="s">
        <v>36</v>
      </c>
      <c r="C15" s="25" t="s">
        <v>82</v>
      </c>
      <c r="D15" s="25" t="s">
        <v>83</v>
      </c>
      <c r="E15" s="26">
        <v>0.7</v>
      </c>
      <c r="F15" s="26">
        <v>0.8</v>
      </c>
      <c r="G15" s="26">
        <f>ROUND(E15*見積!$D$8,2)</f>
        <v>0.84</v>
      </c>
      <c r="H15" s="26">
        <f>ROUND(F15*見積!$D$8,2)</f>
        <v>0.96</v>
      </c>
      <c r="I15" s="25" t="s">
        <v>66</v>
      </c>
    </row>
    <row r="16" spans="1:9" x14ac:dyDescent="0.15">
      <c r="A16" s="25">
        <v>15</v>
      </c>
      <c r="B16" s="25" t="s">
        <v>36</v>
      </c>
      <c r="C16" s="25" t="s">
        <v>82</v>
      </c>
      <c r="D16" s="25" t="s">
        <v>84</v>
      </c>
      <c r="E16" s="26">
        <v>0.7</v>
      </c>
      <c r="F16" s="26">
        <v>0.8</v>
      </c>
      <c r="G16" s="26">
        <f>ROUND(E16*見積!$D$8,2)</f>
        <v>0.84</v>
      </c>
      <c r="H16" s="26">
        <f>ROUND(F16*見積!$D$8,2)</f>
        <v>0.96</v>
      </c>
      <c r="I16" s="25" t="s">
        <v>66</v>
      </c>
    </row>
    <row r="17" spans="1:9" x14ac:dyDescent="0.15">
      <c r="A17" s="25">
        <v>16</v>
      </c>
      <c r="B17" s="25" t="s">
        <v>36</v>
      </c>
      <c r="C17" s="25" t="s">
        <v>82</v>
      </c>
      <c r="D17" s="25" t="s">
        <v>85</v>
      </c>
      <c r="E17" s="26">
        <v>0.6</v>
      </c>
      <c r="F17" s="26">
        <v>0.8</v>
      </c>
      <c r="G17" s="26">
        <f>ROUND(E17*見積!$D$8,2)</f>
        <v>0.72</v>
      </c>
      <c r="H17" s="26">
        <f>ROUND(F17*見積!$D$8,2)</f>
        <v>0.96</v>
      </c>
      <c r="I17" s="25" t="s">
        <v>66</v>
      </c>
    </row>
    <row r="18" spans="1:9" x14ac:dyDescent="0.15">
      <c r="A18" s="25">
        <v>17</v>
      </c>
      <c r="B18" s="25" t="s">
        <v>36</v>
      </c>
      <c r="C18" s="25" t="s">
        <v>82</v>
      </c>
      <c r="D18" s="25" t="s">
        <v>86</v>
      </c>
      <c r="E18" s="26">
        <v>0.2</v>
      </c>
      <c r="F18" s="26">
        <v>0.3</v>
      </c>
      <c r="G18" s="26">
        <f>ROUND(E18*見積!$D$8,2)</f>
        <v>0.24</v>
      </c>
      <c r="H18" s="26">
        <f>ROUND(F18*見積!$D$8,2)</f>
        <v>0.36</v>
      </c>
      <c r="I18" s="25" t="s">
        <v>66</v>
      </c>
    </row>
    <row r="19" spans="1:9" x14ac:dyDescent="0.15">
      <c r="A19" s="25">
        <v>18</v>
      </c>
      <c r="B19" s="25" t="s">
        <v>38</v>
      </c>
      <c r="C19" s="25" t="s">
        <v>87</v>
      </c>
      <c r="D19" s="25" t="s">
        <v>88</v>
      </c>
      <c r="E19" s="26">
        <v>0.1</v>
      </c>
      <c r="F19" s="26">
        <v>0.1</v>
      </c>
      <c r="G19" s="26">
        <f>ROUND(E19*見積!$D$8,2)</f>
        <v>0.12</v>
      </c>
      <c r="H19" s="26">
        <f>ROUND(F19*見積!$D$8,2)</f>
        <v>0.12</v>
      </c>
      <c r="I19" s="25" t="s">
        <v>89</v>
      </c>
    </row>
    <row r="20" spans="1:9" x14ac:dyDescent="0.15">
      <c r="A20" s="25">
        <v>19</v>
      </c>
      <c r="B20" s="25" t="s">
        <v>38</v>
      </c>
      <c r="C20" s="25" t="s">
        <v>87</v>
      </c>
      <c r="D20" s="25" t="s">
        <v>90</v>
      </c>
      <c r="E20" s="26">
        <v>0.1</v>
      </c>
      <c r="F20" s="26">
        <v>0.1</v>
      </c>
      <c r="G20" s="26">
        <f>ROUND(E20*見積!$D$8,2)</f>
        <v>0.12</v>
      </c>
      <c r="H20" s="26">
        <f>ROUND(F20*見積!$D$8,2)</f>
        <v>0.12</v>
      </c>
      <c r="I20" s="25" t="s">
        <v>89</v>
      </c>
    </row>
    <row r="21" spans="1:9" x14ac:dyDescent="0.15">
      <c r="A21" s="25">
        <v>20</v>
      </c>
      <c r="B21" s="25" t="s">
        <v>38</v>
      </c>
      <c r="C21" s="25" t="s">
        <v>87</v>
      </c>
      <c r="D21" s="25" t="s">
        <v>91</v>
      </c>
      <c r="E21" s="26">
        <v>0.1</v>
      </c>
      <c r="F21" s="26">
        <v>0.1</v>
      </c>
      <c r="G21" s="26">
        <f>ROUND(E21*見積!$D$8,2)</f>
        <v>0.12</v>
      </c>
      <c r="H21" s="26">
        <f>ROUND(F21*見積!$D$8,2)</f>
        <v>0.12</v>
      </c>
      <c r="I21" s="25" t="s">
        <v>89</v>
      </c>
    </row>
    <row r="22" spans="1:9" x14ac:dyDescent="0.15">
      <c r="A22" s="25">
        <v>21</v>
      </c>
      <c r="B22" s="25" t="s">
        <v>38</v>
      </c>
      <c r="C22" s="25" t="s">
        <v>92</v>
      </c>
      <c r="D22" s="25" t="s">
        <v>93</v>
      </c>
      <c r="E22" s="26">
        <v>0.4</v>
      </c>
      <c r="F22" s="26">
        <v>0.5</v>
      </c>
      <c r="G22" s="26">
        <f>ROUND(E22*見積!$D$8,2)</f>
        <v>0.48</v>
      </c>
      <c r="H22" s="26">
        <f>ROUND(F22*見積!$D$8,2)</f>
        <v>0.6</v>
      </c>
      <c r="I22" s="25" t="s">
        <v>89</v>
      </c>
    </row>
    <row r="23" spans="1:9" x14ac:dyDescent="0.15">
      <c r="A23" s="25">
        <v>22</v>
      </c>
      <c r="B23" s="25" t="s">
        <v>38</v>
      </c>
      <c r="C23" s="25" t="s">
        <v>92</v>
      </c>
      <c r="D23" s="25" t="s">
        <v>94</v>
      </c>
      <c r="E23" s="26">
        <v>0.1</v>
      </c>
      <c r="F23" s="26">
        <v>0.1</v>
      </c>
      <c r="G23" s="26">
        <f>ROUND(E23*見積!$D$8,2)</f>
        <v>0.12</v>
      </c>
      <c r="H23" s="26">
        <f>ROUND(F23*見積!$D$8,2)</f>
        <v>0.12</v>
      </c>
      <c r="I23" s="25" t="s">
        <v>89</v>
      </c>
    </row>
    <row r="24" spans="1:9" x14ac:dyDescent="0.15">
      <c r="A24" s="25">
        <v>23</v>
      </c>
      <c r="B24" s="25" t="s">
        <v>38</v>
      </c>
      <c r="C24" s="25" t="s">
        <v>95</v>
      </c>
      <c r="D24" s="25" t="s">
        <v>96</v>
      </c>
      <c r="E24" s="26">
        <v>0.5</v>
      </c>
      <c r="F24" s="26">
        <v>0.5</v>
      </c>
      <c r="G24" s="26">
        <f>ROUND(E24*見積!$D$8,2)</f>
        <v>0.6</v>
      </c>
      <c r="H24" s="26">
        <f>ROUND(F24*見積!$D$8,2)</f>
        <v>0.6</v>
      </c>
      <c r="I24" s="25" t="s">
        <v>89</v>
      </c>
    </row>
    <row r="25" spans="1:9" x14ac:dyDescent="0.15">
      <c r="A25" s="25">
        <v>24</v>
      </c>
      <c r="B25" s="25" t="s">
        <v>38</v>
      </c>
      <c r="C25" s="25" t="s">
        <v>95</v>
      </c>
      <c r="D25" s="25" t="s">
        <v>97</v>
      </c>
      <c r="E25" s="26">
        <v>0.3</v>
      </c>
      <c r="F25" s="26">
        <v>0.3</v>
      </c>
      <c r="G25" s="26">
        <f>ROUND(E25*見積!$D$8,2)</f>
        <v>0.36</v>
      </c>
      <c r="H25" s="26">
        <f>ROUND(F25*見積!$D$8,2)</f>
        <v>0.36</v>
      </c>
      <c r="I25" s="25" t="s">
        <v>89</v>
      </c>
    </row>
    <row r="26" spans="1:9" x14ac:dyDescent="0.15">
      <c r="A26" s="25">
        <v>25</v>
      </c>
      <c r="B26" s="25" t="s">
        <v>38</v>
      </c>
      <c r="C26" s="25" t="s">
        <v>95</v>
      </c>
      <c r="D26" s="25" t="s">
        <v>98</v>
      </c>
      <c r="E26" s="26">
        <v>0.5</v>
      </c>
      <c r="F26" s="26">
        <v>0.5</v>
      </c>
      <c r="G26" s="26">
        <f>ROUND(E26*見積!$D$8,2)</f>
        <v>0.6</v>
      </c>
      <c r="H26" s="26">
        <f>ROUND(F26*見積!$D$8,2)</f>
        <v>0.6</v>
      </c>
      <c r="I26" s="25" t="s">
        <v>89</v>
      </c>
    </row>
    <row r="27" spans="1:9" x14ac:dyDescent="0.15">
      <c r="A27" s="25">
        <v>26</v>
      </c>
      <c r="B27" s="25" t="s">
        <v>38</v>
      </c>
      <c r="C27" s="25" t="s">
        <v>95</v>
      </c>
      <c r="D27" s="25" t="s">
        <v>99</v>
      </c>
      <c r="E27" s="26">
        <v>0.1</v>
      </c>
      <c r="F27" s="26">
        <v>0.1</v>
      </c>
      <c r="G27" s="26">
        <f>ROUND(E27*見積!$D$8,2)</f>
        <v>0.12</v>
      </c>
      <c r="H27" s="26">
        <f>ROUND(F27*見積!$D$8,2)</f>
        <v>0.12</v>
      </c>
      <c r="I27" s="25" t="s">
        <v>89</v>
      </c>
    </row>
    <row r="28" spans="1:9" x14ac:dyDescent="0.15">
      <c r="A28" s="25">
        <v>27</v>
      </c>
      <c r="B28" s="25" t="s">
        <v>38</v>
      </c>
      <c r="C28" s="25" t="s">
        <v>95</v>
      </c>
      <c r="D28" s="25" t="s">
        <v>100</v>
      </c>
      <c r="E28" s="26">
        <v>0.1</v>
      </c>
      <c r="F28" s="26">
        <v>0.1</v>
      </c>
      <c r="G28" s="26">
        <f>ROUND(E28*見積!$D$8,2)</f>
        <v>0.12</v>
      </c>
      <c r="H28" s="26">
        <f>ROUND(F28*見積!$D$8,2)</f>
        <v>0.12</v>
      </c>
      <c r="I28" s="25" t="s">
        <v>89</v>
      </c>
    </row>
    <row r="29" spans="1:9" x14ac:dyDescent="0.15">
      <c r="A29" s="25">
        <v>28</v>
      </c>
      <c r="B29" s="25" t="s">
        <v>38</v>
      </c>
      <c r="C29" s="25" t="s">
        <v>101</v>
      </c>
      <c r="D29" s="25" t="s">
        <v>102</v>
      </c>
      <c r="E29" s="26">
        <v>0.1</v>
      </c>
      <c r="F29" s="26">
        <v>0.1</v>
      </c>
      <c r="G29" s="26">
        <f>ROUND(E29*見積!$D$8,2)</f>
        <v>0.12</v>
      </c>
      <c r="H29" s="26">
        <f>ROUND(F29*見積!$D$8,2)</f>
        <v>0.12</v>
      </c>
      <c r="I29" s="25" t="s">
        <v>89</v>
      </c>
    </row>
    <row r="30" spans="1:9" x14ac:dyDescent="0.15">
      <c r="A30" s="25">
        <v>29</v>
      </c>
      <c r="B30" s="25" t="s">
        <v>38</v>
      </c>
      <c r="C30" s="25" t="s">
        <v>101</v>
      </c>
      <c r="D30" s="25" t="s">
        <v>103</v>
      </c>
      <c r="E30" s="26">
        <v>0.1</v>
      </c>
      <c r="F30" s="26">
        <v>0.1</v>
      </c>
      <c r="G30" s="26">
        <f>ROUND(E30*見積!$D$8,2)</f>
        <v>0.12</v>
      </c>
      <c r="H30" s="26">
        <f>ROUND(F30*見積!$D$8,2)</f>
        <v>0.12</v>
      </c>
      <c r="I30" s="25" t="s">
        <v>89</v>
      </c>
    </row>
    <row r="31" spans="1:9" x14ac:dyDescent="0.15">
      <c r="A31" s="25">
        <v>30</v>
      </c>
      <c r="B31" s="25" t="s">
        <v>38</v>
      </c>
      <c r="C31" s="25" t="s">
        <v>101</v>
      </c>
      <c r="D31" s="25" t="s">
        <v>104</v>
      </c>
      <c r="E31" s="26">
        <v>0.1</v>
      </c>
      <c r="F31" s="26">
        <v>0.1</v>
      </c>
      <c r="G31" s="26">
        <f>ROUND(E31*見積!$D$8,2)</f>
        <v>0.12</v>
      </c>
      <c r="H31" s="26">
        <f>ROUND(F31*見積!$D$8,2)</f>
        <v>0.12</v>
      </c>
      <c r="I31" s="25" t="s">
        <v>105</v>
      </c>
    </row>
    <row r="32" spans="1:9" ht="27" x14ac:dyDescent="0.15">
      <c r="A32" s="25">
        <v>31</v>
      </c>
      <c r="B32" s="25" t="s">
        <v>38</v>
      </c>
      <c r="C32" s="25" t="s">
        <v>101</v>
      </c>
      <c r="D32" s="25" t="s">
        <v>106</v>
      </c>
      <c r="E32" s="26">
        <v>1.1000000000000001</v>
      </c>
      <c r="F32" s="26">
        <v>1.4</v>
      </c>
      <c r="G32" s="26">
        <f>ROUND(E32*見積!$D$8,2)</f>
        <v>1.32</v>
      </c>
      <c r="H32" s="26">
        <f>ROUND(F32*見積!$D$8,2)</f>
        <v>1.68</v>
      </c>
      <c r="I32" s="25" t="s">
        <v>107</v>
      </c>
    </row>
    <row r="33" spans="1:9" x14ac:dyDescent="0.15">
      <c r="A33" s="25">
        <v>32</v>
      </c>
      <c r="B33" s="25" t="s">
        <v>38</v>
      </c>
      <c r="C33" s="25" t="s">
        <v>101</v>
      </c>
      <c r="D33" s="25" t="s">
        <v>108</v>
      </c>
      <c r="E33" s="26">
        <v>0.2</v>
      </c>
      <c r="F33" s="26">
        <v>0.2</v>
      </c>
      <c r="G33" s="26">
        <f>ROUND(E33*見積!$D$8,2)</f>
        <v>0.24</v>
      </c>
      <c r="H33" s="26">
        <f>ROUND(F33*見積!$D$8,2)</f>
        <v>0.24</v>
      </c>
      <c r="I33" s="25" t="s">
        <v>105</v>
      </c>
    </row>
    <row r="34" spans="1:9" x14ac:dyDescent="0.15">
      <c r="A34" s="25">
        <v>33</v>
      </c>
      <c r="B34" s="25" t="s">
        <v>38</v>
      </c>
      <c r="C34" s="25" t="s">
        <v>101</v>
      </c>
      <c r="D34" s="25" t="s">
        <v>109</v>
      </c>
      <c r="E34" s="26">
        <v>0.1</v>
      </c>
      <c r="F34" s="26">
        <v>0.1</v>
      </c>
      <c r="G34" s="26">
        <f>ROUND(E34*見積!$D$8,2)</f>
        <v>0.12</v>
      </c>
      <c r="H34" s="26">
        <f>ROUND(F34*見積!$D$8,2)</f>
        <v>0.12</v>
      </c>
      <c r="I34" s="25" t="s">
        <v>105</v>
      </c>
    </row>
    <row r="35" spans="1:9" x14ac:dyDescent="0.15">
      <c r="A35" s="25">
        <v>34</v>
      </c>
      <c r="B35" s="25" t="s">
        <v>38</v>
      </c>
      <c r="C35" s="25" t="s">
        <v>101</v>
      </c>
      <c r="D35" s="25" t="s">
        <v>110</v>
      </c>
      <c r="E35" s="26">
        <v>0.2</v>
      </c>
      <c r="F35" s="26">
        <v>0.2</v>
      </c>
      <c r="G35" s="26">
        <f>ROUND(E35*見積!$D$8,2)</f>
        <v>0.24</v>
      </c>
      <c r="H35" s="26">
        <f>ROUND(F35*見積!$D$8,2)</f>
        <v>0.24</v>
      </c>
      <c r="I35" s="25" t="s">
        <v>105</v>
      </c>
    </row>
    <row r="36" spans="1:9" x14ac:dyDescent="0.15">
      <c r="A36" s="25">
        <v>35</v>
      </c>
      <c r="B36" s="25" t="s">
        <v>38</v>
      </c>
      <c r="C36" s="25" t="s">
        <v>101</v>
      </c>
      <c r="D36" s="25" t="s">
        <v>111</v>
      </c>
      <c r="E36" s="26">
        <v>0.2</v>
      </c>
      <c r="F36" s="26">
        <v>0.2</v>
      </c>
      <c r="G36" s="26">
        <f>ROUND(E36*見積!$D$8,2)</f>
        <v>0.24</v>
      </c>
      <c r="H36" s="26">
        <f>ROUND(F36*見積!$D$8,2)</f>
        <v>0.24</v>
      </c>
      <c r="I36" s="25" t="s">
        <v>105</v>
      </c>
    </row>
    <row r="37" spans="1:9" x14ac:dyDescent="0.15">
      <c r="A37" s="25">
        <v>36</v>
      </c>
      <c r="B37" s="25" t="s">
        <v>38</v>
      </c>
      <c r="C37" s="25" t="s">
        <v>101</v>
      </c>
      <c r="D37" s="25" t="s">
        <v>112</v>
      </c>
      <c r="E37" s="26">
        <v>0.2</v>
      </c>
      <c r="F37" s="26">
        <v>0.2</v>
      </c>
      <c r="G37" s="26">
        <f>ROUND(E37*見積!$D$8,2)</f>
        <v>0.24</v>
      </c>
      <c r="H37" s="26">
        <f>ROUND(F37*見積!$D$8,2)</f>
        <v>0.24</v>
      </c>
      <c r="I37" s="25" t="s">
        <v>89</v>
      </c>
    </row>
    <row r="38" spans="1:9" x14ac:dyDescent="0.15">
      <c r="A38" s="25">
        <v>37</v>
      </c>
      <c r="B38" s="25" t="s">
        <v>40</v>
      </c>
      <c r="C38" s="25" t="s">
        <v>113</v>
      </c>
      <c r="D38" s="25" t="s">
        <v>114</v>
      </c>
      <c r="E38" s="26">
        <v>1.7</v>
      </c>
      <c r="F38" s="26">
        <v>1.9</v>
      </c>
      <c r="G38" s="26">
        <f>ROUND(E38*見積!$D$8,2)</f>
        <v>2.04</v>
      </c>
      <c r="H38" s="26">
        <f>ROUND(F38*見積!$D$8,2)</f>
        <v>2.2799999999999998</v>
      </c>
      <c r="I38" s="25" t="s">
        <v>115</v>
      </c>
    </row>
    <row r="39" spans="1:9" x14ac:dyDescent="0.15">
      <c r="A39" s="25">
        <v>38</v>
      </c>
      <c r="B39" s="25" t="s">
        <v>40</v>
      </c>
      <c r="C39" s="25" t="s">
        <v>113</v>
      </c>
      <c r="D39" s="25" t="s">
        <v>116</v>
      </c>
      <c r="E39" s="26">
        <v>0.8</v>
      </c>
      <c r="F39" s="26">
        <v>1</v>
      </c>
      <c r="G39" s="26">
        <f>ROUND(E39*見積!$D$8,2)</f>
        <v>0.96</v>
      </c>
      <c r="H39" s="26">
        <f>ROUND(F39*見積!$D$8,2)</f>
        <v>1.2</v>
      </c>
      <c r="I39" s="25" t="s">
        <v>115</v>
      </c>
    </row>
    <row r="40" spans="1:9" x14ac:dyDescent="0.15">
      <c r="A40" s="25">
        <v>39</v>
      </c>
      <c r="B40" s="25" t="s">
        <v>40</v>
      </c>
      <c r="C40" s="25" t="s">
        <v>117</v>
      </c>
      <c r="D40" s="25" t="s">
        <v>118</v>
      </c>
      <c r="E40" s="26">
        <v>0.7</v>
      </c>
      <c r="F40" s="26">
        <v>0.9</v>
      </c>
      <c r="G40" s="26">
        <f>ROUND(E40*見積!$D$8,2)</f>
        <v>0.84</v>
      </c>
      <c r="H40" s="26">
        <f>ROUND(F40*見積!$D$8,2)</f>
        <v>1.08</v>
      </c>
      <c r="I40" s="25" t="s">
        <v>115</v>
      </c>
    </row>
    <row r="41" spans="1:9" x14ac:dyDescent="0.15">
      <c r="A41" s="25">
        <v>40</v>
      </c>
      <c r="B41" s="25" t="s">
        <v>40</v>
      </c>
      <c r="C41" s="25" t="s">
        <v>117</v>
      </c>
      <c r="D41" s="25" t="s">
        <v>119</v>
      </c>
      <c r="E41" s="26">
        <v>0.6</v>
      </c>
      <c r="F41" s="26">
        <v>0.7</v>
      </c>
      <c r="G41" s="26">
        <f>ROUND(E41*見積!$D$8,2)</f>
        <v>0.72</v>
      </c>
      <c r="H41" s="26">
        <f>ROUND(F41*見積!$D$8,2)</f>
        <v>0.84</v>
      </c>
      <c r="I41" s="25" t="s">
        <v>115</v>
      </c>
    </row>
    <row r="42" spans="1:9" ht="27" x14ac:dyDescent="0.15">
      <c r="A42" s="25">
        <v>41</v>
      </c>
      <c r="B42" s="25" t="s">
        <v>40</v>
      </c>
      <c r="C42" s="25" t="s">
        <v>117</v>
      </c>
      <c r="D42" s="25" t="s">
        <v>120</v>
      </c>
      <c r="E42" s="26">
        <v>1</v>
      </c>
      <c r="F42" s="26">
        <v>1.2</v>
      </c>
      <c r="G42" s="26">
        <f>ROUND(E42*見積!$D$8,2)</f>
        <v>1.2</v>
      </c>
      <c r="H42" s="26">
        <f>ROUND(F42*見積!$D$8,2)</f>
        <v>1.44</v>
      </c>
      <c r="I42" s="25" t="s">
        <v>107</v>
      </c>
    </row>
    <row r="43" spans="1:9" x14ac:dyDescent="0.15">
      <c r="A43" s="25">
        <v>42</v>
      </c>
      <c r="B43" s="25" t="s">
        <v>40</v>
      </c>
      <c r="C43" s="25" t="s">
        <v>121</v>
      </c>
      <c r="D43" s="25" t="s">
        <v>122</v>
      </c>
      <c r="E43" s="26">
        <v>0.4</v>
      </c>
      <c r="F43" s="26">
        <v>0.5</v>
      </c>
      <c r="G43" s="26">
        <f>ROUND(E43*見積!$D$8,2)</f>
        <v>0.48</v>
      </c>
      <c r="H43" s="26">
        <f>ROUND(F43*見積!$D$8,2)</f>
        <v>0.6</v>
      </c>
      <c r="I43" s="25" t="s">
        <v>115</v>
      </c>
    </row>
    <row r="44" spans="1:9" x14ac:dyDescent="0.15">
      <c r="A44" s="25">
        <v>43</v>
      </c>
      <c r="B44" s="25" t="s">
        <v>40</v>
      </c>
      <c r="C44" s="25" t="s">
        <v>123</v>
      </c>
      <c r="D44" s="25" t="s">
        <v>124</v>
      </c>
      <c r="E44" s="26">
        <v>0.7</v>
      </c>
      <c r="F44" s="26">
        <v>0.8</v>
      </c>
      <c r="G44" s="26">
        <f>ROUND(E44*見積!$D$8,2)</f>
        <v>0.84</v>
      </c>
      <c r="H44" s="26">
        <f>ROUND(F44*見積!$D$8,2)</f>
        <v>0.96</v>
      </c>
      <c r="I44" s="25" t="s">
        <v>115</v>
      </c>
    </row>
    <row r="45" spans="1:9" x14ac:dyDescent="0.15">
      <c r="A45" s="25">
        <v>44</v>
      </c>
      <c r="B45" s="25" t="s">
        <v>40</v>
      </c>
      <c r="C45" s="25" t="s">
        <v>125</v>
      </c>
      <c r="D45" s="25" t="s">
        <v>126</v>
      </c>
      <c r="E45" s="26">
        <v>0.7</v>
      </c>
      <c r="F45" s="26">
        <v>0.9</v>
      </c>
      <c r="G45" s="26">
        <f>ROUND(E45*見積!$D$8,2)</f>
        <v>0.84</v>
      </c>
      <c r="H45" s="26">
        <f>ROUND(F45*見積!$D$8,2)</f>
        <v>1.08</v>
      </c>
      <c r="I45" s="25" t="s">
        <v>115</v>
      </c>
    </row>
    <row r="46" spans="1:9" x14ac:dyDescent="0.15">
      <c r="A46" s="25">
        <v>45</v>
      </c>
      <c r="B46" s="25" t="s">
        <v>40</v>
      </c>
      <c r="C46" s="25" t="s">
        <v>125</v>
      </c>
      <c r="D46" s="25" t="s">
        <v>127</v>
      </c>
      <c r="E46" s="26">
        <v>1.2</v>
      </c>
      <c r="F46" s="26">
        <v>1.4</v>
      </c>
      <c r="G46" s="26">
        <f>ROUND(E46*見積!$D$8,2)</f>
        <v>1.44</v>
      </c>
      <c r="H46" s="26">
        <f>ROUND(F46*見積!$D$8,2)</f>
        <v>1.68</v>
      </c>
      <c r="I46" s="25" t="s">
        <v>115</v>
      </c>
    </row>
    <row r="47" spans="1:9" x14ac:dyDescent="0.15">
      <c r="A47" s="25">
        <v>46</v>
      </c>
      <c r="B47" s="25" t="s">
        <v>40</v>
      </c>
      <c r="C47" s="25" t="s">
        <v>125</v>
      </c>
      <c r="D47" s="25" t="s">
        <v>128</v>
      </c>
      <c r="E47" s="26">
        <v>0.4</v>
      </c>
      <c r="F47" s="26">
        <v>0.5</v>
      </c>
      <c r="G47" s="26">
        <f>ROUND(E47*見積!$D$8,2)</f>
        <v>0.48</v>
      </c>
      <c r="H47" s="26">
        <f>ROUND(F47*見積!$D$8,2)</f>
        <v>0.6</v>
      </c>
      <c r="I47" s="25" t="s">
        <v>115</v>
      </c>
    </row>
    <row r="48" spans="1:9" x14ac:dyDescent="0.15">
      <c r="A48" s="25">
        <v>47</v>
      </c>
      <c r="B48" s="25" t="s">
        <v>40</v>
      </c>
      <c r="C48" s="25" t="s">
        <v>129</v>
      </c>
      <c r="D48" s="25" t="s">
        <v>130</v>
      </c>
      <c r="E48" s="26">
        <v>0.4</v>
      </c>
      <c r="F48" s="26">
        <v>0.5</v>
      </c>
      <c r="G48" s="26">
        <f>ROUND(E48*見積!$D$8,2)</f>
        <v>0.48</v>
      </c>
      <c r="H48" s="26">
        <f>ROUND(F48*見積!$D$8,2)</f>
        <v>0.6</v>
      </c>
      <c r="I48" s="25" t="s">
        <v>115</v>
      </c>
    </row>
    <row r="49" spans="1:9" x14ac:dyDescent="0.15">
      <c r="A49" s="25">
        <v>48</v>
      </c>
      <c r="B49" s="25" t="s">
        <v>40</v>
      </c>
      <c r="C49" s="25" t="s">
        <v>129</v>
      </c>
      <c r="D49" s="25" t="s">
        <v>131</v>
      </c>
      <c r="E49" s="26">
        <v>0.4</v>
      </c>
      <c r="F49" s="26">
        <v>0.5</v>
      </c>
      <c r="G49" s="26">
        <f>ROUND(E49*見積!$D$8,2)</f>
        <v>0.48</v>
      </c>
      <c r="H49" s="26">
        <f>ROUND(F49*見積!$D$8,2)</f>
        <v>0.6</v>
      </c>
      <c r="I49" s="25" t="s">
        <v>115</v>
      </c>
    </row>
    <row r="50" spans="1:9" x14ac:dyDescent="0.15">
      <c r="A50" s="25">
        <v>49</v>
      </c>
      <c r="B50" s="25" t="s">
        <v>40</v>
      </c>
      <c r="C50" s="25" t="s">
        <v>129</v>
      </c>
      <c r="D50" s="25" t="s">
        <v>132</v>
      </c>
      <c r="E50" s="26">
        <v>0.8</v>
      </c>
      <c r="F50" s="26">
        <v>1</v>
      </c>
      <c r="G50" s="26">
        <f>ROUND(E50*見積!$D$8,2)</f>
        <v>0.96</v>
      </c>
      <c r="H50" s="26">
        <f>ROUND(F50*見積!$D$8,2)</f>
        <v>1.2</v>
      </c>
      <c r="I50" s="25" t="s">
        <v>115</v>
      </c>
    </row>
    <row r="51" spans="1:9" x14ac:dyDescent="0.15">
      <c r="A51" s="25">
        <v>50</v>
      </c>
      <c r="B51" s="25" t="s">
        <v>40</v>
      </c>
      <c r="C51" s="25" t="s">
        <v>129</v>
      </c>
      <c r="D51" s="25" t="s">
        <v>133</v>
      </c>
      <c r="E51" s="26">
        <v>0.8</v>
      </c>
      <c r="F51" s="26">
        <v>1</v>
      </c>
      <c r="G51" s="26">
        <f>ROUND(E51*見積!$D$8,2)</f>
        <v>0.96</v>
      </c>
      <c r="H51" s="26">
        <f>ROUND(F51*見積!$D$8,2)</f>
        <v>1.2</v>
      </c>
      <c r="I51" s="25" t="s">
        <v>115</v>
      </c>
    </row>
    <row r="52" spans="1:9" ht="27" x14ac:dyDescent="0.15">
      <c r="A52" s="25">
        <v>51</v>
      </c>
      <c r="B52" s="25" t="s">
        <v>40</v>
      </c>
      <c r="C52" s="25" t="s">
        <v>134</v>
      </c>
      <c r="D52" s="25" t="s">
        <v>135</v>
      </c>
      <c r="E52" s="26">
        <v>1.2</v>
      </c>
      <c r="F52" s="26">
        <v>1.4</v>
      </c>
      <c r="G52" s="26">
        <f>ROUND(E52*見積!$D$8,2)</f>
        <v>1.44</v>
      </c>
      <c r="H52" s="26">
        <f>ROUND(F52*見積!$D$8,2)</f>
        <v>1.68</v>
      </c>
      <c r="I52" s="25" t="s">
        <v>107</v>
      </c>
    </row>
    <row r="53" spans="1:9" ht="27" x14ac:dyDescent="0.15">
      <c r="A53" s="25">
        <v>52</v>
      </c>
      <c r="B53" s="25" t="s">
        <v>40</v>
      </c>
      <c r="C53" s="25" t="s">
        <v>134</v>
      </c>
      <c r="D53" s="25" t="s">
        <v>136</v>
      </c>
      <c r="E53" s="26">
        <v>1</v>
      </c>
      <c r="F53" s="26">
        <v>1.1000000000000001</v>
      </c>
      <c r="G53" s="26">
        <f>ROUND(E53*見積!$D$8,2)</f>
        <v>1.2</v>
      </c>
      <c r="H53" s="26">
        <f>ROUND(F53*見積!$D$8,2)</f>
        <v>1.32</v>
      </c>
      <c r="I53" s="25" t="s">
        <v>107</v>
      </c>
    </row>
    <row r="54" spans="1:9" x14ac:dyDescent="0.15">
      <c r="A54" s="25">
        <v>53</v>
      </c>
      <c r="B54" s="25" t="s">
        <v>40</v>
      </c>
      <c r="C54" s="25" t="s">
        <v>134</v>
      </c>
      <c r="D54" s="25" t="s">
        <v>137</v>
      </c>
      <c r="E54" s="26">
        <v>0.8</v>
      </c>
      <c r="F54" s="26">
        <v>0.9</v>
      </c>
      <c r="G54" s="26">
        <f>ROUND(E54*見積!$D$8,2)</f>
        <v>0.96</v>
      </c>
      <c r="H54" s="26">
        <f>ROUND(F54*見積!$D$8,2)</f>
        <v>1.08</v>
      </c>
      <c r="I54" s="25" t="s">
        <v>138</v>
      </c>
    </row>
    <row r="55" spans="1:9" x14ac:dyDescent="0.15">
      <c r="A55" s="25">
        <v>54</v>
      </c>
      <c r="B55" s="25" t="s">
        <v>42</v>
      </c>
      <c r="C55" s="25" t="s">
        <v>139</v>
      </c>
      <c r="D55" s="25" t="s">
        <v>140</v>
      </c>
      <c r="E55" s="26">
        <v>1.8</v>
      </c>
      <c r="F55" s="26">
        <v>2.1</v>
      </c>
      <c r="G55" s="26">
        <f>ROUND(E55*見積!$D$8,2)</f>
        <v>2.16</v>
      </c>
      <c r="H55" s="26">
        <f>ROUND(F55*見積!$D$8,2)</f>
        <v>2.52</v>
      </c>
      <c r="I55" s="25" t="s">
        <v>141</v>
      </c>
    </row>
    <row r="56" spans="1:9" x14ac:dyDescent="0.15">
      <c r="A56" s="25">
        <v>55</v>
      </c>
      <c r="B56" s="25" t="s">
        <v>42</v>
      </c>
      <c r="C56" s="25" t="s">
        <v>139</v>
      </c>
      <c r="D56" s="25" t="s">
        <v>142</v>
      </c>
      <c r="E56" s="26">
        <v>0.3</v>
      </c>
      <c r="F56" s="26">
        <v>0.3</v>
      </c>
      <c r="G56" s="26">
        <f>ROUND(E56*見積!$D$8,2)</f>
        <v>0.36</v>
      </c>
      <c r="H56" s="26">
        <f>ROUND(F56*見積!$D$8,2)</f>
        <v>0.36</v>
      </c>
      <c r="I56" s="25" t="s">
        <v>141</v>
      </c>
    </row>
    <row r="57" spans="1:9" x14ac:dyDescent="0.15">
      <c r="A57" s="25">
        <v>56</v>
      </c>
      <c r="B57" s="25" t="s">
        <v>42</v>
      </c>
      <c r="C57" s="25" t="s">
        <v>139</v>
      </c>
      <c r="D57" s="25" t="s">
        <v>143</v>
      </c>
      <c r="E57" s="26">
        <v>0.3</v>
      </c>
      <c r="F57" s="26">
        <v>0.3</v>
      </c>
      <c r="G57" s="26">
        <f>ROUND(E57*見積!$D$8,2)</f>
        <v>0.36</v>
      </c>
      <c r="H57" s="26">
        <f>ROUND(F57*見積!$D$8,2)</f>
        <v>0.36</v>
      </c>
      <c r="I57" s="25" t="s">
        <v>141</v>
      </c>
    </row>
    <row r="58" spans="1:9" x14ac:dyDescent="0.15">
      <c r="A58" s="25">
        <v>57</v>
      </c>
      <c r="B58" s="25" t="s">
        <v>42</v>
      </c>
      <c r="C58" s="25" t="s">
        <v>139</v>
      </c>
      <c r="D58" s="25" t="s">
        <v>144</v>
      </c>
      <c r="E58" s="26">
        <v>0.3</v>
      </c>
      <c r="F58" s="26">
        <v>0.3</v>
      </c>
      <c r="G58" s="26">
        <f>ROUND(E58*見積!$D$8,2)</f>
        <v>0.36</v>
      </c>
      <c r="H58" s="26">
        <f>ROUND(F58*見積!$D$8,2)</f>
        <v>0.36</v>
      </c>
      <c r="I58" s="25" t="s">
        <v>141</v>
      </c>
    </row>
    <row r="59" spans="1:9" x14ac:dyDescent="0.15">
      <c r="A59" s="25">
        <v>58</v>
      </c>
      <c r="B59" s="25" t="s">
        <v>42</v>
      </c>
      <c r="C59" s="25" t="s">
        <v>145</v>
      </c>
      <c r="D59" s="25" t="s">
        <v>146</v>
      </c>
      <c r="E59" s="26">
        <v>0.5</v>
      </c>
      <c r="F59" s="26">
        <v>0.6</v>
      </c>
      <c r="G59" s="26">
        <f>ROUND(E59*見積!$D$8,2)</f>
        <v>0.6</v>
      </c>
      <c r="H59" s="26">
        <f>ROUND(F59*見積!$D$8,2)</f>
        <v>0.72</v>
      </c>
      <c r="I59" s="25" t="s">
        <v>147</v>
      </c>
    </row>
    <row r="60" spans="1:9" x14ac:dyDescent="0.15">
      <c r="A60" s="25">
        <v>59</v>
      </c>
      <c r="B60" s="25" t="s">
        <v>42</v>
      </c>
      <c r="C60" s="25" t="s">
        <v>145</v>
      </c>
      <c r="D60" s="25" t="s">
        <v>148</v>
      </c>
      <c r="E60" s="26">
        <v>0.5</v>
      </c>
      <c r="F60" s="26">
        <v>0.6</v>
      </c>
      <c r="G60" s="26">
        <f>ROUND(E60*見積!$D$8,2)</f>
        <v>0.6</v>
      </c>
      <c r="H60" s="26">
        <f>ROUND(F60*見積!$D$8,2)</f>
        <v>0.72</v>
      </c>
      <c r="I60" s="25" t="s">
        <v>147</v>
      </c>
    </row>
    <row r="61" spans="1:9" x14ac:dyDescent="0.15">
      <c r="A61" s="25">
        <v>60</v>
      </c>
      <c r="B61" s="25" t="s">
        <v>42</v>
      </c>
      <c r="C61" s="25" t="s">
        <v>145</v>
      </c>
      <c r="D61" s="25" t="s">
        <v>149</v>
      </c>
      <c r="E61" s="26">
        <v>0.5</v>
      </c>
      <c r="F61" s="26">
        <v>0.6</v>
      </c>
      <c r="G61" s="26">
        <f>ROUND(E61*見積!$D$8,2)</f>
        <v>0.6</v>
      </c>
      <c r="H61" s="26">
        <f>ROUND(F61*見積!$D$8,2)</f>
        <v>0.72</v>
      </c>
      <c r="I61" s="25" t="s">
        <v>147</v>
      </c>
    </row>
    <row r="62" spans="1:9" x14ac:dyDescent="0.15">
      <c r="A62" s="25">
        <v>61</v>
      </c>
      <c r="B62" s="25" t="s">
        <v>42</v>
      </c>
      <c r="C62" s="25" t="s">
        <v>145</v>
      </c>
      <c r="D62" s="25" t="s">
        <v>150</v>
      </c>
      <c r="E62" s="26">
        <v>0.9</v>
      </c>
      <c r="F62" s="26">
        <v>1</v>
      </c>
      <c r="G62" s="26">
        <f>ROUND(E62*見積!$D$8,2)</f>
        <v>1.08</v>
      </c>
      <c r="H62" s="26">
        <f>ROUND(F62*見積!$D$8,2)</f>
        <v>1.2</v>
      </c>
      <c r="I62" s="25" t="s">
        <v>147</v>
      </c>
    </row>
    <row r="63" spans="1:9" x14ac:dyDescent="0.15">
      <c r="A63" s="25">
        <v>62</v>
      </c>
      <c r="B63" s="25" t="s">
        <v>42</v>
      </c>
      <c r="C63" s="25" t="s">
        <v>145</v>
      </c>
      <c r="D63" s="25" t="s">
        <v>151</v>
      </c>
      <c r="E63" s="26">
        <v>0.5</v>
      </c>
      <c r="F63" s="26">
        <v>0.6</v>
      </c>
      <c r="G63" s="26">
        <f>ROUND(E63*見積!$D$8,2)</f>
        <v>0.6</v>
      </c>
      <c r="H63" s="26">
        <f>ROUND(F63*見積!$D$8,2)</f>
        <v>0.72</v>
      </c>
      <c r="I63" s="25" t="s">
        <v>147</v>
      </c>
    </row>
    <row r="64" spans="1:9" x14ac:dyDescent="0.15">
      <c r="A64" s="25">
        <v>63</v>
      </c>
      <c r="B64" s="25" t="s">
        <v>42</v>
      </c>
      <c r="C64" s="25" t="s">
        <v>145</v>
      </c>
      <c r="D64" s="25" t="s">
        <v>152</v>
      </c>
      <c r="E64" s="26">
        <v>0.5</v>
      </c>
      <c r="F64" s="26">
        <v>0.6</v>
      </c>
      <c r="G64" s="26">
        <f>ROUND(E64*見積!$D$8,2)</f>
        <v>0.6</v>
      </c>
      <c r="H64" s="26">
        <f>ROUND(F64*見積!$D$8,2)</f>
        <v>0.72</v>
      </c>
      <c r="I64" s="25" t="s">
        <v>147</v>
      </c>
    </row>
    <row r="65" spans="1:9" x14ac:dyDescent="0.15">
      <c r="A65" s="25">
        <v>64</v>
      </c>
      <c r="B65" s="25" t="s">
        <v>42</v>
      </c>
      <c r="C65" s="25" t="s">
        <v>153</v>
      </c>
      <c r="D65" s="25" t="s">
        <v>154</v>
      </c>
      <c r="E65" s="26">
        <v>1.3</v>
      </c>
      <c r="F65" s="26">
        <v>1.6</v>
      </c>
      <c r="G65" s="26">
        <f>ROUND(E65*見積!$D$8,2)</f>
        <v>1.56</v>
      </c>
      <c r="H65" s="26">
        <f>ROUND(F65*見積!$D$8,2)</f>
        <v>1.92</v>
      </c>
      <c r="I65" s="25" t="s">
        <v>147</v>
      </c>
    </row>
    <row r="66" spans="1:9" x14ac:dyDescent="0.15">
      <c r="A66" s="25">
        <v>65</v>
      </c>
      <c r="B66" s="25" t="s">
        <v>42</v>
      </c>
      <c r="C66" s="25" t="s">
        <v>153</v>
      </c>
      <c r="D66" s="25" t="s">
        <v>155</v>
      </c>
      <c r="E66" s="26">
        <v>0.1</v>
      </c>
      <c r="F66" s="26">
        <v>0.1</v>
      </c>
      <c r="G66" s="26">
        <f>ROUND(E66*見積!$D$8,2)</f>
        <v>0.12</v>
      </c>
      <c r="H66" s="26">
        <f>ROUND(F66*見積!$D$8,2)</f>
        <v>0.12</v>
      </c>
      <c r="I66" s="25" t="s">
        <v>147</v>
      </c>
    </row>
    <row r="67" spans="1:9" x14ac:dyDescent="0.15">
      <c r="A67" s="25">
        <v>66</v>
      </c>
      <c r="B67" s="25" t="s">
        <v>42</v>
      </c>
      <c r="C67" s="25" t="s">
        <v>153</v>
      </c>
      <c r="D67" s="25" t="s">
        <v>156</v>
      </c>
      <c r="E67" s="26">
        <v>0.1</v>
      </c>
      <c r="F67" s="26">
        <v>0.1</v>
      </c>
      <c r="G67" s="26">
        <f>ROUND(E67*見積!$D$8,2)</f>
        <v>0.12</v>
      </c>
      <c r="H67" s="26">
        <f>ROUND(F67*見積!$D$8,2)</f>
        <v>0.12</v>
      </c>
      <c r="I67" s="25" t="s">
        <v>105</v>
      </c>
    </row>
    <row r="68" spans="1:9" x14ac:dyDescent="0.15">
      <c r="A68" s="25">
        <v>67</v>
      </c>
      <c r="B68" s="25" t="s">
        <v>42</v>
      </c>
      <c r="C68" s="25" t="s">
        <v>153</v>
      </c>
      <c r="D68" s="25" t="s">
        <v>157</v>
      </c>
      <c r="E68" s="26">
        <v>0.1</v>
      </c>
      <c r="F68" s="26">
        <v>0.1</v>
      </c>
      <c r="G68" s="26">
        <f>ROUND(E68*見積!$D$8,2)</f>
        <v>0.12</v>
      </c>
      <c r="H68" s="26">
        <f>ROUND(F68*見積!$D$8,2)</f>
        <v>0.12</v>
      </c>
      <c r="I68" s="25" t="s">
        <v>147</v>
      </c>
    </row>
    <row r="69" spans="1:9" x14ac:dyDescent="0.15">
      <c r="A69" s="25">
        <v>68</v>
      </c>
      <c r="B69" s="25" t="s">
        <v>42</v>
      </c>
      <c r="C69" s="25" t="s">
        <v>153</v>
      </c>
      <c r="D69" s="25" t="s">
        <v>158</v>
      </c>
      <c r="E69" s="26">
        <v>0.1</v>
      </c>
      <c r="F69" s="26">
        <v>0.1</v>
      </c>
      <c r="G69" s="26">
        <f>ROUND(E69*見積!$D$8,2)</f>
        <v>0.12</v>
      </c>
      <c r="H69" s="26">
        <f>ROUND(F69*見積!$D$8,2)</f>
        <v>0.12</v>
      </c>
      <c r="I69" s="25" t="s">
        <v>147</v>
      </c>
    </row>
    <row r="70" spans="1:9" x14ac:dyDescent="0.15">
      <c r="A70" s="25">
        <v>69</v>
      </c>
      <c r="B70" s="25" t="s">
        <v>42</v>
      </c>
      <c r="C70" s="25" t="s">
        <v>153</v>
      </c>
      <c r="D70" s="25" t="s">
        <v>159</v>
      </c>
      <c r="E70" s="26">
        <v>0.1</v>
      </c>
      <c r="F70" s="26">
        <v>0.1</v>
      </c>
      <c r="G70" s="26">
        <f>ROUND(E70*見積!$D$8,2)</f>
        <v>0.12</v>
      </c>
      <c r="H70" s="26">
        <f>ROUND(F70*見積!$D$8,2)</f>
        <v>0.12</v>
      </c>
      <c r="I70" s="25" t="s">
        <v>147</v>
      </c>
    </row>
    <row r="71" spans="1:9" x14ac:dyDescent="0.15">
      <c r="A71" s="25">
        <v>70</v>
      </c>
      <c r="B71" s="25" t="s">
        <v>42</v>
      </c>
      <c r="C71" s="25" t="s">
        <v>160</v>
      </c>
      <c r="D71" s="25" t="s">
        <v>161</v>
      </c>
      <c r="E71" s="26">
        <v>2.8</v>
      </c>
      <c r="F71" s="26">
        <v>3.3</v>
      </c>
      <c r="G71" s="26">
        <f>ROUND(E71*見積!$D$8,2)</f>
        <v>3.36</v>
      </c>
      <c r="H71" s="26">
        <f>ROUND(F71*見積!$D$8,2)</f>
        <v>3.96</v>
      </c>
      <c r="I71" s="25" t="s">
        <v>147</v>
      </c>
    </row>
    <row r="72" spans="1:9" x14ac:dyDescent="0.15">
      <c r="A72" s="25">
        <v>71</v>
      </c>
      <c r="B72" s="25" t="s">
        <v>42</v>
      </c>
      <c r="C72" s="25" t="s">
        <v>160</v>
      </c>
      <c r="D72" s="25" t="s">
        <v>162</v>
      </c>
      <c r="E72" s="26">
        <v>0.5</v>
      </c>
      <c r="F72" s="26">
        <v>0.6</v>
      </c>
      <c r="G72" s="26">
        <f>ROUND(E72*見積!$D$8,2)</f>
        <v>0.6</v>
      </c>
      <c r="H72" s="26">
        <f>ROUND(F72*見積!$D$8,2)</f>
        <v>0.72</v>
      </c>
      <c r="I72" s="25" t="s">
        <v>147</v>
      </c>
    </row>
    <row r="73" spans="1:9" x14ac:dyDescent="0.15">
      <c r="A73" s="25">
        <v>72</v>
      </c>
      <c r="B73" s="25" t="s">
        <v>42</v>
      </c>
      <c r="C73" s="25" t="s">
        <v>160</v>
      </c>
      <c r="D73" s="25" t="s">
        <v>163</v>
      </c>
      <c r="E73" s="26">
        <v>1.3</v>
      </c>
      <c r="F73" s="26">
        <v>1.6</v>
      </c>
      <c r="G73" s="26">
        <f>ROUND(E73*見積!$D$8,2)</f>
        <v>1.56</v>
      </c>
      <c r="H73" s="26">
        <f>ROUND(F73*見積!$D$8,2)</f>
        <v>1.92</v>
      </c>
      <c r="I73" s="25" t="s">
        <v>147</v>
      </c>
    </row>
    <row r="74" spans="1:9" x14ac:dyDescent="0.15">
      <c r="A74" s="25">
        <v>73</v>
      </c>
      <c r="B74" s="25" t="s">
        <v>42</v>
      </c>
      <c r="C74" s="25" t="s">
        <v>160</v>
      </c>
      <c r="D74" s="25" t="s">
        <v>164</v>
      </c>
      <c r="E74" s="26">
        <v>0.9</v>
      </c>
      <c r="F74" s="26">
        <v>1</v>
      </c>
      <c r="G74" s="26">
        <f>ROUND(E74*見積!$D$8,2)</f>
        <v>1.08</v>
      </c>
      <c r="H74" s="26">
        <f>ROUND(F74*見積!$D$8,2)</f>
        <v>1.2</v>
      </c>
      <c r="I74" s="25" t="s">
        <v>147</v>
      </c>
    </row>
    <row r="75" spans="1:9" x14ac:dyDescent="0.15">
      <c r="A75" s="25">
        <v>74</v>
      </c>
      <c r="B75" s="25" t="s">
        <v>42</v>
      </c>
      <c r="C75" s="25" t="s">
        <v>160</v>
      </c>
      <c r="D75" s="25" t="s">
        <v>165</v>
      </c>
      <c r="E75" s="26">
        <v>0.5</v>
      </c>
      <c r="F75" s="26">
        <v>0.6</v>
      </c>
      <c r="G75" s="26">
        <f>ROUND(E75*見積!$D$8,2)</f>
        <v>0.6</v>
      </c>
      <c r="H75" s="26">
        <f>ROUND(F75*見積!$D$8,2)</f>
        <v>0.72</v>
      </c>
      <c r="I75" s="25" t="s">
        <v>147</v>
      </c>
    </row>
    <row r="76" spans="1:9" x14ac:dyDescent="0.15">
      <c r="A76" s="25">
        <v>75</v>
      </c>
      <c r="B76" s="25" t="s">
        <v>42</v>
      </c>
      <c r="C76" s="25" t="s">
        <v>160</v>
      </c>
      <c r="D76" s="25" t="s">
        <v>166</v>
      </c>
      <c r="E76" s="26">
        <v>0.5</v>
      </c>
      <c r="F76" s="26">
        <v>0.6</v>
      </c>
      <c r="G76" s="26">
        <f>ROUND(E76*見積!$D$8,2)</f>
        <v>0.6</v>
      </c>
      <c r="H76" s="26">
        <f>ROUND(F76*見積!$D$8,2)</f>
        <v>0.72</v>
      </c>
      <c r="I76" s="25" t="s">
        <v>147</v>
      </c>
    </row>
    <row r="77" spans="1:9" x14ac:dyDescent="0.15">
      <c r="A77" s="25">
        <v>76</v>
      </c>
      <c r="B77" s="25" t="s">
        <v>42</v>
      </c>
      <c r="C77" s="25" t="s">
        <v>160</v>
      </c>
      <c r="D77" s="25" t="s">
        <v>167</v>
      </c>
      <c r="E77" s="26">
        <v>0.7</v>
      </c>
      <c r="F77" s="26">
        <v>0.8</v>
      </c>
      <c r="G77" s="26">
        <f>ROUND(E77*見積!$D$8,2)</f>
        <v>0.84</v>
      </c>
      <c r="H77" s="26">
        <f>ROUND(F77*見積!$D$8,2)</f>
        <v>0.96</v>
      </c>
      <c r="I77" s="25" t="s">
        <v>147</v>
      </c>
    </row>
    <row r="78" spans="1:9" x14ac:dyDescent="0.15">
      <c r="A78" s="25">
        <v>77</v>
      </c>
      <c r="B78" s="25" t="s">
        <v>42</v>
      </c>
      <c r="C78" s="25" t="s">
        <v>168</v>
      </c>
      <c r="D78" s="25" t="s">
        <v>169</v>
      </c>
      <c r="E78" s="26">
        <v>0.5</v>
      </c>
      <c r="F78" s="26">
        <v>0.6</v>
      </c>
      <c r="G78" s="26">
        <f>ROUND(E78*見積!$D$8,2)</f>
        <v>0.6</v>
      </c>
      <c r="H78" s="26">
        <f>ROUND(F78*見積!$D$8,2)</f>
        <v>0.72</v>
      </c>
      <c r="I78" s="25" t="s">
        <v>147</v>
      </c>
    </row>
    <row r="79" spans="1:9" x14ac:dyDescent="0.15">
      <c r="A79" s="25">
        <v>78</v>
      </c>
      <c r="B79" s="25" t="s">
        <v>42</v>
      </c>
      <c r="C79" s="25" t="s">
        <v>168</v>
      </c>
      <c r="D79" s="25" t="s">
        <v>170</v>
      </c>
      <c r="E79" s="26">
        <v>0.1</v>
      </c>
      <c r="F79" s="26">
        <v>0.1</v>
      </c>
      <c r="G79" s="26">
        <f>ROUND(E79*見積!$D$8,2)</f>
        <v>0.12</v>
      </c>
      <c r="H79" s="26">
        <f>ROUND(F79*見積!$D$8,2)</f>
        <v>0.12</v>
      </c>
      <c r="I79" s="25" t="s">
        <v>147</v>
      </c>
    </row>
    <row r="80" spans="1:9" x14ac:dyDescent="0.15">
      <c r="A80" s="25">
        <v>79</v>
      </c>
      <c r="B80" s="25" t="s">
        <v>42</v>
      </c>
      <c r="C80" s="25" t="s">
        <v>168</v>
      </c>
      <c r="D80" s="25" t="s">
        <v>171</v>
      </c>
      <c r="E80" s="26">
        <v>0.5</v>
      </c>
      <c r="F80" s="26">
        <v>0.6</v>
      </c>
      <c r="G80" s="26">
        <f>ROUND(E80*見積!$D$8,2)</f>
        <v>0.6</v>
      </c>
      <c r="H80" s="26">
        <f>ROUND(F80*見積!$D$8,2)</f>
        <v>0.72</v>
      </c>
      <c r="I80" s="25" t="s">
        <v>147</v>
      </c>
    </row>
    <row r="81" spans="1:9" x14ac:dyDescent="0.15">
      <c r="A81" s="25">
        <v>80</v>
      </c>
      <c r="B81" s="25" t="s">
        <v>42</v>
      </c>
      <c r="C81" s="25" t="s">
        <v>168</v>
      </c>
      <c r="D81" s="25" t="s">
        <v>172</v>
      </c>
      <c r="E81" s="26">
        <v>0.1</v>
      </c>
      <c r="F81" s="26">
        <v>0.1</v>
      </c>
      <c r="G81" s="26">
        <f>ROUND(E81*見積!$D$8,2)</f>
        <v>0.12</v>
      </c>
      <c r="H81" s="26">
        <f>ROUND(F81*見積!$D$8,2)</f>
        <v>0.12</v>
      </c>
      <c r="I81" s="25" t="s">
        <v>79</v>
      </c>
    </row>
    <row r="82" spans="1:9" x14ac:dyDescent="0.15">
      <c r="A82" s="25">
        <v>81</v>
      </c>
      <c r="B82" s="25" t="s">
        <v>42</v>
      </c>
      <c r="C82" s="25" t="s">
        <v>168</v>
      </c>
      <c r="D82" s="25" t="s">
        <v>173</v>
      </c>
      <c r="E82" s="26">
        <v>0.1</v>
      </c>
      <c r="F82" s="26">
        <v>0.1</v>
      </c>
      <c r="G82" s="26">
        <f>ROUND(E82*見積!$D$8,2)</f>
        <v>0.12</v>
      </c>
      <c r="H82" s="26">
        <f>ROUND(F82*見積!$D$8,2)</f>
        <v>0.12</v>
      </c>
      <c r="I82" s="25" t="s">
        <v>147</v>
      </c>
    </row>
    <row r="83" spans="1:9" x14ac:dyDescent="0.15">
      <c r="A83" s="25">
        <v>82</v>
      </c>
      <c r="B83" s="25" t="s">
        <v>42</v>
      </c>
      <c r="C83" s="25" t="s">
        <v>168</v>
      </c>
      <c r="D83" s="25" t="s">
        <v>174</v>
      </c>
      <c r="E83" s="26">
        <v>0.1</v>
      </c>
      <c r="F83" s="26">
        <v>0.1</v>
      </c>
      <c r="G83" s="26">
        <f>ROUND(E83*見積!$D$8,2)</f>
        <v>0.12</v>
      </c>
      <c r="H83" s="26">
        <f>ROUND(F83*見積!$D$8,2)</f>
        <v>0.12</v>
      </c>
      <c r="I83" s="25" t="s">
        <v>147</v>
      </c>
    </row>
    <row r="84" spans="1:9" x14ac:dyDescent="0.15">
      <c r="A84" s="25">
        <v>83</v>
      </c>
      <c r="B84" s="25" t="s">
        <v>42</v>
      </c>
      <c r="C84" s="25" t="s">
        <v>175</v>
      </c>
      <c r="D84" s="25" t="s">
        <v>176</v>
      </c>
      <c r="E84" s="26">
        <v>0.4</v>
      </c>
      <c r="F84" s="26">
        <v>0.4</v>
      </c>
      <c r="G84" s="26">
        <f>ROUND(E84*見積!$D$8,2)</f>
        <v>0.48</v>
      </c>
      <c r="H84" s="26">
        <f>ROUND(F84*見積!$D$8,2)</f>
        <v>0.48</v>
      </c>
      <c r="I84" s="25" t="s">
        <v>177</v>
      </c>
    </row>
    <row r="85" spans="1:9" x14ac:dyDescent="0.15">
      <c r="A85" s="25">
        <v>84</v>
      </c>
      <c r="B85" s="25" t="s">
        <v>42</v>
      </c>
      <c r="C85" s="25" t="s">
        <v>175</v>
      </c>
      <c r="D85" s="25" t="s">
        <v>178</v>
      </c>
      <c r="E85" s="26">
        <v>0.6</v>
      </c>
      <c r="F85" s="26">
        <v>0.8</v>
      </c>
      <c r="G85" s="26">
        <f>ROUND(E85*見積!$D$8,2)</f>
        <v>0.72</v>
      </c>
      <c r="H85" s="26">
        <f>ROUND(F85*見積!$D$8,2)</f>
        <v>0.96</v>
      </c>
      <c r="I85" s="25" t="s">
        <v>177</v>
      </c>
    </row>
    <row r="86" spans="1:9" x14ac:dyDescent="0.15">
      <c r="A86" s="25">
        <v>85</v>
      </c>
      <c r="B86" s="25" t="s">
        <v>42</v>
      </c>
      <c r="C86" s="25" t="s">
        <v>175</v>
      </c>
      <c r="D86" s="25" t="s">
        <v>179</v>
      </c>
      <c r="E86" s="26">
        <v>0.4</v>
      </c>
      <c r="F86" s="26">
        <v>0.4</v>
      </c>
      <c r="G86" s="26">
        <f>ROUND(E86*見積!$D$8,2)</f>
        <v>0.48</v>
      </c>
      <c r="H86" s="26">
        <f>ROUND(F86*見積!$D$8,2)</f>
        <v>0.48</v>
      </c>
      <c r="I86" s="25" t="s">
        <v>177</v>
      </c>
    </row>
    <row r="87" spans="1:9" x14ac:dyDescent="0.15">
      <c r="A87" s="25">
        <v>86</v>
      </c>
      <c r="B87" s="25" t="s">
        <v>42</v>
      </c>
      <c r="C87" s="25" t="s">
        <v>175</v>
      </c>
      <c r="D87" s="25" t="s">
        <v>180</v>
      </c>
      <c r="E87" s="26">
        <v>0.4</v>
      </c>
      <c r="F87" s="26">
        <v>0.4</v>
      </c>
      <c r="G87" s="26">
        <f>ROUND(E87*見積!$D$8,2)</f>
        <v>0.48</v>
      </c>
      <c r="H87" s="26">
        <f>ROUND(F87*見積!$D$8,2)</f>
        <v>0.48</v>
      </c>
      <c r="I87" s="25" t="s">
        <v>177</v>
      </c>
    </row>
    <row r="88" spans="1:9" x14ac:dyDescent="0.15">
      <c r="A88" s="25">
        <v>87</v>
      </c>
      <c r="B88" s="25" t="s">
        <v>42</v>
      </c>
      <c r="C88" s="25" t="s">
        <v>181</v>
      </c>
      <c r="D88" s="25" t="s">
        <v>182</v>
      </c>
      <c r="E88" s="26">
        <v>0.5</v>
      </c>
      <c r="F88" s="26">
        <v>0.6</v>
      </c>
      <c r="G88" s="26">
        <f>ROUND(E88*見積!$D$8,2)</f>
        <v>0.6</v>
      </c>
      <c r="H88" s="26">
        <f>ROUND(F88*見積!$D$8,2)</f>
        <v>0.72</v>
      </c>
      <c r="I88" s="25" t="s">
        <v>147</v>
      </c>
    </row>
    <row r="89" spans="1:9" x14ac:dyDescent="0.15">
      <c r="A89" s="25">
        <v>88</v>
      </c>
      <c r="B89" s="25" t="s">
        <v>42</v>
      </c>
      <c r="C89" s="25" t="s">
        <v>181</v>
      </c>
      <c r="D89" s="25" t="s">
        <v>183</v>
      </c>
      <c r="E89" s="26">
        <v>1.1000000000000001</v>
      </c>
      <c r="F89" s="26">
        <v>1.3</v>
      </c>
      <c r="G89" s="26">
        <f>ROUND(E89*見積!$D$8,2)</f>
        <v>1.32</v>
      </c>
      <c r="H89" s="26">
        <f>ROUND(F89*見積!$D$8,2)</f>
        <v>1.56</v>
      </c>
      <c r="I89" s="25" t="s">
        <v>141</v>
      </c>
    </row>
    <row r="90" spans="1:9" x14ac:dyDescent="0.15">
      <c r="A90" s="25">
        <v>89</v>
      </c>
      <c r="B90" s="25" t="s">
        <v>42</v>
      </c>
      <c r="C90" s="25" t="s">
        <v>181</v>
      </c>
      <c r="D90" s="25" t="s">
        <v>184</v>
      </c>
      <c r="E90" s="26">
        <v>0.8</v>
      </c>
      <c r="F90" s="26">
        <v>1</v>
      </c>
      <c r="G90" s="26">
        <f>ROUND(E90*見積!$D$8,2)</f>
        <v>0.96</v>
      </c>
      <c r="H90" s="26">
        <f>ROUND(F90*見積!$D$8,2)</f>
        <v>1.2</v>
      </c>
      <c r="I90" s="25" t="s">
        <v>141</v>
      </c>
    </row>
    <row r="91" spans="1:9" x14ac:dyDescent="0.15">
      <c r="A91" s="25">
        <v>90</v>
      </c>
      <c r="B91" s="25" t="s">
        <v>42</v>
      </c>
      <c r="C91" s="25" t="s">
        <v>181</v>
      </c>
      <c r="D91" s="25" t="s">
        <v>185</v>
      </c>
      <c r="E91" s="26">
        <v>0.9</v>
      </c>
      <c r="F91" s="26">
        <v>1</v>
      </c>
      <c r="G91" s="26">
        <f>ROUND(E91*見積!$D$8,2)</f>
        <v>1.08</v>
      </c>
      <c r="H91" s="26">
        <f>ROUND(F91*見積!$D$8,2)</f>
        <v>1.2</v>
      </c>
      <c r="I91" s="25" t="s">
        <v>147</v>
      </c>
    </row>
    <row r="92" spans="1:9" x14ac:dyDescent="0.15">
      <c r="A92" s="25">
        <v>91</v>
      </c>
      <c r="B92" s="25" t="s">
        <v>42</v>
      </c>
      <c r="C92" s="25" t="s">
        <v>181</v>
      </c>
      <c r="D92" s="25" t="s">
        <v>186</v>
      </c>
      <c r="E92" s="26">
        <v>0.5</v>
      </c>
      <c r="F92" s="26">
        <v>0.6</v>
      </c>
      <c r="G92" s="26">
        <f>ROUND(E92*見積!$D$8,2)</f>
        <v>0.6</v>
      </c>
      <c r="H92" s="26">
        <f>ROUND(F92*見積!$D$8,2)</f>
        <v>0.72</v>
      </c>
      <c r="I92" s="25" t="s">
        <v>147</v>
      </c>
    </row>
    <row r="93" spans="1:9" x14ac:dyDescent="0.15">
      <c r="A93" s="25">
        <v>92</v>
      </c>
      <c r="B93" s="25" t="s">
        <v>42</v>
      </c>
      <c r="C93" s="25" t="s">
        <v>181</v>
      </c>
      <c r="D93" s="25" t="s">
        <v>187</v>
      </c>
      <c r="E93" s="26">
        <v>0.9</v>
      </c>
      <c r="F93" s="26">
        <v>1</v>
      </c>
      <c r="G93" s="26">
        <f>ROUND(E93*見積!$D$8,2)</f>
        <v>1.08</v>
      </c>
      <c r="H93" s="26">
        <f>ROUND(F93*見積!$D$8,2)</f>
        <v>1.2</v>
      </c>
      <c r="I93" s="25" t="s">
        <v>147</v>
      </c>
    </row>
    <row r="94" spans="1:9" x14ac:dyDescent="0.15">
      <c r="A94" s="25">
        <v>93</v>
      </c>
      <c r="B94" s="25" t="s">
        <v>42</v>
      </c>
      <c r="C94" s="25" t="s">
        <v>181</v>
      </c>
      <c r="D94" s="25" t="s">
        <v>188</v>
      </c>
      <c r="E94" s="26">
        <v>0.9</v>
      </c>
      <c r="F94" s="26">
        <v>1</v>
      </c>
      <c r="G94" s="26">
        <f>ROUND(E94*見積!$D$8,2)</f>
        <v>1.08</v>
      </c>
      <c r="H94" s="26">
        <f>ROUND(F94*見積!$D$8,2)</f>
        <v>1.2</v>
      </c>
      <c r="I94" s="25" t="s">
        <v>147</v>
      </c>
    </row>
    <row r="95" spans="1:9" x14ac:dyDescent="0.15">
      <c r="A95" s="25">
        <v>94</v>
      </c>
      <c r="B95" s="25" t="s">
        <v>42</v>
      </c>
      <c r="C95" s="25" t="s">
        <v>189</v>
      </c>
      <c r="D95" s="25" t="s">
        <v>190</v>
      </c>
      <c r="E95" s="26">
        <v>0.7</v>
      </c>
      <c r="F95" s="26">
        <v>0.8</v>
      </c>
      <c r="G95" s="26">
        <f>ROUND(E95*見積!$D$8,2)</f>
        <v>0.84</v>
      </c>
      <c r="H95" s="26">
        <f>ROUND(F95*見積!$D$8,2)</f>
        <v>0.96</v>
      </c>
      <c r="I95" s="25" t="s">
        <v>147</v>
      </c>
    </row>
    <row r="96" spans="1:9" x14ac:dyDescent="0.15">
      <c r="A96" s="25">
        <v>95</v>
      </c>
      <c r="B96" s="25" t="s">
        <v>42</v>
      </c>
      <c r="C96" s="25" t="s">
        <v>189</v>
      </c>
      <c r="D96" s="25" t="s">
        <v>191</v>
      </c>
      <c r="E96" s="26">
        <v>1.1000000000000001</v>
      </c>
      <c r="F96" s="26">
        <v>1.3</v>
      </c>
      <c r="G96" s="26">
        <f>ROUND(E96*見積!$D$8,2)</f>
        <v>1.32</v>
      </c>
      <c r="H96" s="26">
        <f>ROUND(F96*見積!$D$8,2)</f>
        <v>1.56</v>
      </c>
      <c r="I96" s="25" t="s">
        <v>147</v>
      </c>
    </row>
    <row r="97" spans="1:9" x14ac:dyDescent="0.15">
      <c r="A97" s="25">
        <v>96</v>
      </c>
      <c r="B97" s="25" t="s">
        <v>42</v>
      </c>
      <c r="C97" s="25" t="s">
        <v>189</v>
      </c>
      <c r="D97" s="25" t="s">
        <v>192</v>
      </c>
      <c r="E97" s="26">
        <v>0.5</v>
      </c>
      <c r="F97" s="26">
        <v>0.6</v>
      </c>
      <c r="G97" s="26">
        <f>ROUND(E97*見積!$D$8,2)</f>
        <v>0.6</v>
      </c>
      <c r="H97" s="26">
        <f>ROUND(F97*見積!$D$8,2)</f>
        <v>0.72</v>
      </c>
      <c r="I97" s="25" t="s">
        <v>147</v>
      </c>
    </row>
    <row r="98" spans="1:9" x14ac:dyDescent="0.15">
      <c r="A98" s="25">
        <v>97</v>
      </c>
      <c r="B98" s="25" t="s">
        <v>42</v>
      </c>
      <c r="C98" s="25" t="s">
        <v>193</v>
      </c>
      <c r="D98" s="25" t="s">
        <v>194</v>
      </c>
      <c r="E98" s="26">
        <v>1.3</v>
      </c>
      <c r="F98" s="26">
        <v>1.6</v>
      </c>
      <c r="G98" s="26">
        <f>ROUND(E98*見積!$D$8,2)</f>
        <v>1.56</v>
      </c>
      <c r="H98" s="26">
        <f>ROUND(F98*見積!$D$8,2)</f>
        <v>1.92</v>
      </c>
      <c r="I98" s="25" t="s">
        <v>147</v>
      </c>
    </row>
    <row r="99" spans="1:9" x14ac:dyDescent="0.15">
      <c r="A99" s="25">
        <v>98</v>
      </c>
      <c r="B99" s="25" t="s">
        <v>42</v>
      </c>
      <c r="C99" s="25" t="s">
        <v>193</v>
      </c>
      <c r="D99" s="25" t="s">
        <v>195</v>
      </c>
      <c r="E99" s="26">
        <v>0.7</v>
      </c>
      <c r="F99" s="26">
        <v>0.8</v>
      </c>
      <c r="G99" s="26">
        <f>ROUND(E99*見積!$D$8,2)</f>
        <v>0.84</v>
      </c>
      <c r="H99" s="26">
        <f>ROUND(F99*見積!$D$8,2)</f>
        <v>0.96</v>
      </c>
      <c r="I99" s="25" t="s">
        <v>147</v>
      </c>
    </row>
    <row r="100" spans="1:9" x14ac:dyDescent="0.15">
      <c r="A100" s="25">
        <v>99</v>
      </c>
      <c r="B100" s="25" t="s">
        <v>42</v>
      </c>
      <c r="C100" s="25" t="s">
        <v>193</v>
      </c>
      <c r="D100" s="25" t="s">
        <v>196</v>
      </c>
      <c r="E100" s="26">
        <v>0.3</v>
      </c>
      <c r="F100" s="26">
        <v>0.3</v>
      </c>
      <c r="G100" s="26">
        <f>ROUND(E100*見積!$D$8,2)</f>
        <v>0.36</v>
      </c>
      <c r="H100" s="26">
        <f>ROUND(F100*見積!$D$8,2)</f>
        <v>0.36</v>
      </c>
      <c r="I100" s="25" t="s">
        <v>147</v>
      </c>
    </row>
    <row r="101" spans="1:9" x14ac:dyDescent="0.15">
      <c r="A101" s="25">
        <v>100</v>
      </c>
      <c r="B101" s="25" t="s">
        <v>42</v>
      </c>
      <c r="C101" s="25" t="s">
        <v>193</v>
      </c>
      <c r="D101" s="25" t="s">
        <v>197</v>
      </c>
      <c r="E101" s="26">
        <v>0.3</v>
      </c>
      <c r="F101" s="26">
        <v>0.3</v>
      </c>
      <c r="G101" s="26">
        <f>ROUND(E101*見積!$D$8,2)</f>
        <v>0.36</v>
      </c>
      <c r="H101" s="26">
        <f>ROUND(F101*見積!$D$8,2)</f>
        <v>0.36</v>
      </c>
      <c r="I101" s="25" t="s">
        <v>147</v>
      </c>
    </row>
    <row r="102" spans="1:9" x14ac:dyDescent="0.15">
      <c r="A102" s="25">
        <v>101</v>
      </c>
      <c r="B102" s="25" t="s">
        <v>44</v>
      </c>
      <c r="C102" s="25" t="s">
        <v>198</v>
      </c>
      <c r="D102" s="25" t="s">
        <v>199</v>
      </c>
      <c r="E102" s="26">
        <v>0.8</v>
      </c>
      <c r="F102" s="26">
        <v>1</v>
      </c>
      <c r="G102" s="26">
        <f>ROUND(E102*見積!$D$8,2)</f>
        <v>0.96</v>
      </c>
      <c r="H102" s="26">
        <f>ROUND(F102*見積!$D$8,2)</f>
        <v>1.2</v>
      </c>
      <c r="I102" s="25" t="s">
        <v>200</v>
      </c>
    </row>
    <row r="103" spans="1:9" x14ac:dyDescent="0.15">
      <c r="A103" s="25">
        <v>102</v>
      </c>
      <c r="B103" s="25" t="s">
        <v>44</v>
      </c>
      <c r="C103" s="25" t="s">
        <v>198</v>
      </c>
      <c r="D103" s="25" t="s">
        <v>201</v>
      </c>
      <c r="E103" s="26">
        <v>0.6</v>
      </c>
      <c r="F103" s="26">
        <v>0.7</v>
      </c>
      <c r="G103" s="26">
        <f>ROUND(E103*見積!$D$8,2)</f>
        <v>0.72</v>
      </c>
      <c r="H103" s="26">
        <f>ROUND(F103*見積!$D$8,2)</f>
        <v>0.84</v>
      </c>
      <c r="I103" s="25" t="s">
        <v>200</v>
      </c>
    </row>
    <row r="104" spans="1:9" x14ac:dyDescent="0.15">
      <c r="A104" s="25">
        <v>103</v>
      </c>
      <c r="B104" s="25" t="s">
        <v>44</v>
      </c>
      <c r="C104" s="25" t="s">
        <v>198</v>
      </c>
      <c r="D104" s="25" t="s">
        <v>202</v>
      </c>
      <c r="E104" s="26">
        <v>0.7</v>
      </c>
      <c r="F104" s="26">
        <v>0.8</v>
      </c>
      <c r="G104" s="26">
        <f>ROUND(E104*見積!$D$8,2)</f>
        <v>0.84</v>
      </c>
      <c r="H104" s="26">
        <f>ROUND(F104*見積!$D$8,2)</f>
        <v>0.96</v>
      </c>
      <c r="I104" s="25" t="s">
        <v>200</v>
      </c>
    </row>
    <row r="105" spans="1:9" x14ac:dyDescent="0.15">
      <c r="A105" s="25">
        <v>104</v>
      </c>
      <c r="B105" s="25" t="s">
        <v>44</v>
      </c>
      <c r="C105" s="25" t="s">
        <v>198</v>
      </c>
      <c r="D105" s="25" t="s">
        <v>203</v>
      </c>
      <c r="E105" s="26">
        <v>0.7</v>
      </c>
      <c r="F105" s="26">
        <v>0.8</v>
      </c>
      <c r="G105" s="26">
        <f>ROUND(E105*見積!$D$8,2)</f>
        <v>0.84</v>
      </c>
      <c r="H105" s="26">
        <f>ROUND(F105*見積!$D$8,2)</f>
        <v>0.96</v>
      </c>
      <c r="I105" s="25" t="s">
        <v>200</v>
      </c>
    </row>
    <row r="106" spans="1:9" x14ac:dyDescent="0.15">
      <c r="A106" s="25">
        <v>105</v>
      </c>
      <c r="B106" s="25" t="s">
        <v>44</v>
      </c>
      <c r="C106" s="25" t="s">
        <v>198</v>
      </c>
      <c r="D106" s="25" t="s">
        <v>204</v>
      </c>
      <c r="E106" s="26">
        <v>0.9</v>
      </c>
      <c r="F106" s="26">
        <v>1</v>
      </c>
      <c r="G106" s="26">
        <f>ROUND(E106*見積!$D$8,2)</f>
        <v>1.08</v>
      </c>
      <c r="H106" s="26">
        <f>ROUND(F106*見積!$D$8,2)</f>
        <v>1.2</v>
      </c>
      <c r="I106" s="25" t="s">
        <v>205</v>
      </c>
    </row>
    <row r="107" spans="1:9" x14ac:dyDescent="0.15">
      <c r="A107" s="25">
        <v>106</v>
      </c>
      <c r="B107" s="25" t="s">
        <v>44</v>
      </c>
      <c r="C107" s="25" t="s">
        <v>198</v>
      </c>
      <c r="D107" s="25" t="s">
        <v>206</v>
      </c>
      <c r="E107" s="26">
        <v>0.9</v>
      </c>
      <c r="F107" s="26">
        <v>1</v>
      </c>
      <c r="G107" s="26">
        <f>ROUND(E107*見積!$D$8,2)</f>
        <v>1.08</v>
      </c>
      <c r="H107" s="26">
        <f>ROUND(F107*見積!$D$8,2)</f>
        <v>1.2</v>
      </c>
      <c r="I107" s="25" t="s">
        <v>205</v>
      </c>
    </row>
    <row r="108" spans="1:9" x14ac:dyDescent="0.15">
      <c r="A108" s="25">
        <v>107</v>
      </c>
      <c r="B108" s="25" t="s">
        <v>44</v>
      </c>
      <c r="C108" s="25" t="s">
        <v>198</v>
      </c>
      <c r="D108" s="25" t="s">
        <v>207</v>
      </c>
      <c r="E108" s="26">
        <v>1.3</v>
      </c>
      <c r="F108" s="26">
        <v>1.6</v>
      </c>
      <c r="G108" s="26">
        <f>ROUND(E108*見積!$D$8,2)</f>
        <v>1.56</v>
      </c>
      <c r="H108" s="26">
        <f>ROUND(F108*見積!$D$8,2)</f>
        <v>1.92</v>
      </c>
      <c r="I108" s="25" t="s">
        <v>200</v>
      </c>
    </row>
    <row r="109" spans="1:9" x14ac:dyDescent="0.15">
      <c r="A109" s="25">
        <v>108</v>
      </c>
      <c r="B109" s="25" t="s">
        <v>44</v>
      </c>
      <c r="C109" s="25" t="s">
        <v>198</v>
      </c>
      <c r="D109" s="25" t="s">
        <v>208</v>
      </c>
      <c r="E109" s="26">
        <v>0.9</v>
      </c>
      <c r="F109" s="26">
        <v>1.1000000000000001</v>
      </c>
      <c r="G109" s="26">
        <f>ROUND(E109*見積!$D$8,2)</f>
        <v>1.08</v>
      </c>
      <c r="H109" s="26">
        <f>ROUND(F109*見積!$D$8,2)</f>
        <v>1.32</v>
      </c>
      <c r="I109" s="25" t="s">
        <v>200</v>
      </c>
    </row>
    <row r="110" spans="1:9" x14ac:dyDescent="0.15">
      <c r="A110" s="25">
        <v>109</v>
      </c>
      <c r="B110" s="25" t="s">
        <v>44</v>
      </c>
      <c r="C110" s="25" t="s">
        <v>209</v>
      </c>
      <c r="D110" s="25" t="s">
        <v>210</v>
      </c>
      <c r="E110" s="26">
        <v>0.3</v>
      </c>
      <c r="F110" s="26">
        <v>0.3</v>
      </c>
      <c r="G110" s="26">
        <f>ROUND(E110*見積!$D$8,2)</f>
        <v>0.36</v>
      </c>
      <c r="H110" s="26">
        <f>ROUND(F110*見積!$D$8,2)</f>
        <v>0.36</v>
      </c>
      <c r="I110" s="25" t="s">
        <v>200</v>
      </c>
    </row>
    <row r="111" spans="1:9" x14ac:dyDescent="0.15">
      <c r="A111" s="25">
        <v>110</v>
      </c>
      <c r="B111" s="25" t="s">
        <v>44</v>
      </c>
      <c r="C111" s="25" t="s">
        <v>209</v>
      </c>
      <c r="D111" s="25" t="s">
        <v>211</v>
      </c>
      <c r="E111" s="26">
        <v>0.2</v>
      </c>
      <c r="F111" s="26">
        <v>0.2</v>
      </c>
      <c r="G111" s="26">
        <f>ROUND(E111*見積!$D$8,2)</f>
        <v>0.24</v>
      </c>
      <c r="H111" s="26">
        <f>ROUND(F111*見積!$D$8,2)</f>
        <v>0.24</v>
      </c>
      <c r="I111" s="25" t="s">
        <v>200</v>
      </c>
    </row>
    <row r="112" spans="1:9" x14ac:dyDescent="0.15">
      <c r="A112" s="25">
        <v>111</v>
      </c>
      <c r="B112" s="25" t="s">
        <v>44</v>
      </c>
      <c r="C112" s="25" t="s">
        <v>209</v>
      </c>
      <c r="D112" s="25" t="s">
        <v>212</v>
      </c>
      <c r="E112" s="26">
        <v>0.5</v>
      </c>
      <c r="F112" s="26">
        <v>0.6</v>
      </c>
      <c r="G112" s="26">
        <f>ROUND(E112*見積!$D$8,2)</f>
        <v>0.6</v>
      </c>
      <c r="H112" s="26">
        <f>ROUND(F112*見積!$D$8,2)</f>
        <v>0.72</v>
      </c>
      <c r="I112" s="25" t="s">
        <v>200</v>
      </c>
    </row>
    <row r="113" spans="1:9" x14ac:dyDescent="0.15">
      <c r="A113" s="25">
        <v>112</v>
      </c>
      <c r="B113" s="25" t="s">
        <v>44</v>
      </c>
      <c r="C113" s="25" t="s">
        <v>209</v>
      </c>
      <c r="D113" s="25" t="s">
        <v>213</v>
      </c>
      <c r="E113" s="26">
        <v>0.2</v>
      </c>
      <c r="F113" s="26">
        <v>0.2</v>
      </c>
      <c r="G113" s="26">
        <f>ROUND(E113*見積!$D$8,2)</f>
        <v>0.24</v>
      </c>
      <c r="H113" s="26">
        <f>ROUND(F113*見積!$D$8,2)</f>
        <v>0.24</v>
      </c>
      <c r="I113" s="25" t="s">
        <v>105</v>
      </c>
    </row>
    <row r="114" spans="1:9" x14ac:dyDescent="0.15">
      <c r="A114" s="25">
        <v>113</v>
      </c>
      <c r="B114" s="25" t="s">
        <v>44</v>
      </c>
      <c r="C114" s="25" t="s">
        <v>214</v>
      </c>
      <c r="D114" s="25" t="s">
        <v>215</v>
      </c>
      <c r="E114" s="26">
        <v>0.4</v>
      </c>
      <c r="F114" s="26">
        <v>0.5</v>
      </c>
      <c r="G114" s="26">
        <f>ROUND(E114*見積!$D$8,2)</f>
        <v>0.48</v>
      </c>
      <c r="H114" s="26">
        <f>ROUND(F114*見積!$D$8,2)</f>
        <v>0.6</v>
      </c>
      <c r="I114" s="25" t="s">
        <v>200</v>
      </c>
    </row>
    <row r="115" spans="1:9" x14ac:dyDescent="0.15">
      <c r="A115" s="25">
        <v>114</v>
      </c>
      <c r="B115" s="25" t="s">
        <v>44</v>
      </c>
      <c r="C115" s="25" t="s">
        <v>214</v>
      </c>
      <c r="D115" s="25" t="s">
        <v>216</v>
      </c>
      <c r="E115" s="26">
        <v>0.4</v>
      </c>
      <c r="F115" s="26">
        <v>0.5</v>
      </c>
      <c r="G115" s="26">
        <f>ROUND(E115*見積!$D$8,2)</f>
        <v>0.48</v>
      </c>
      <c r="H115" s="26">
        <f>ROUND(F115*見積!$D$8,2)</f>
        <v>0.6</v>
      </c>
      <c r="I115" s="25" t="s">
        <v>200</v>
      </c>
    </row>
    <row r="116" spans="1:9" x14ac:dyDescent="0.15">
      <c r="A116" s="25">
        <v>115</v>
      </c>
      <c r="B116" s="25" t="s">
        <v>44</v>
      </c>
      <c r="C116" s="25" t="s">
        <v>214</v>
      </c>
      <c r="D116" s="25" t="s">
        <v>217</v>
      </c>
      <c r="E116" s="26">
        <v>0.8</v>
      </c>
      <c r="F116" s="26">
        <v>1</v>
      </c>
      <c r="G116" s="26">
        <f>ROUND(E116*見積!$D$8,2)</f>
        <v>0.96</v>
      </c>
      <c r="H116" s="26">
        <f>ROUND(F116*見積!$D$8,2)</f>
        <v>1.2</v>
      </c>
      <c r="I116" s="25" t="s">
        <v>200</v>
      </c>
    </row>
    <row r="117" spans="1:9" x14ac:dyDescent="0.15">
      <c r="A117" s="25">
        <v>116</v>
      </c>
      <c r="B117" s="25" t="s">
        <v>44</v>
      </c>
      <c r="C117" s="25" t="s">
        <v>214</v>
      </c>
      <c r="D117" s="25" t="s">
        <v>218</v>
      </c>
      <c r="E117" s="26">
        <v>0.1</v>
      </c>
      <c r="F117" s="26">
        <v>0.1</v>
      </c>
      <c r="G117" s="26">
        <f>ROUND(E117*見積!$D$8,2)</f>
        <v>0.12</v>
      </c>
      <c r="H117" s="26">
        <f>ROUND(F117*見積!$D$8,2)</f>
        <v>0.12</v>
      </c>
      <c r="I117" s="25" t="s">
        <v>200</v>
      </c>
    </row>
    <row r="118" spans="1:9" x14ac:dyDescent="0.15">
      <c r="A118" s="25">
        <v>117</v>
      </c>
      <c r="B118" s="25" t="s">
        <v>44</v>
      </c>
      <c r="C118" s="25" t="s">
        <v>214</v>
      </c>
      <c r="D118" s="25" t="s">
        <v>219</v>
      </c>
      <c r="E118" s="26">
        <v>0.2</v>
      </c>
      <c r="F118" s="26">
        <v>0.2</v>
      </c>
      <c r="G118" s="26">
        <f>ROUND(E118*見積!$D$8,2)</f>
        <v>0.24</v>
      </c>
      <c r="H118" s="26">
        <f>ROUND(F118*見積!$D$8,2)</f>
        <v>0.24</v>
      </c>
      <c r="I118" s="25" t="s">
        <v>200</v>
      </c>
    </row>
    <row r="119" spans="1:9" x14ac:dyDescent="0.15">
      <c r="A119" s="25">
        <v>118</v>
      </c>
      <c r="B119" s="25" t="s">
        <v>44</v>
      </c>
      <c r="C119" s="25" t="s">
        <v>214</v>
      </c>
      <c r="D119" s="25" t="s">
        <v>220</v>
      </c>
      <c r="E119" s="26">
        <v>0.3</v>
      </c>
      <c r="F119" s="26">
        <v>0.3</v>
      </c>
      <c r="G119" s="26">
        <f>ROUND(E119*見積!$D$8,2)</f>
        <v>0.36</v>
      </c>
      <c r="H119" s="26">
        <f>ROUND(F119*見積!$D$8,2)</f>
        <v>0.36</v>
      </c>
      <c r="I119" s="25" t="s">
        <v>200</v>
      </c>
    </row>
    <row r="120" spans="1:9" x14ac:dyDescent="0.15">
      <c r="A120" s="25">
        <v>119</v>
      </c>
      <c r="B120" s="25" t="s">
        <v>44</v>
      </c>
      <c r="C120" s="25" t="s">
        <v>221</v>
      </c>
      <c r="D120" s="25" t="s">
        <v>222</v>
      </c>
      <c r="E120" s="26">
        <v>0.5</v>
      </c>
      <c r="F120" s="26">
        <v>0.6</v>
      </c>
      <c r="G120" s="26">
        <f>ROUND(E120*見積!$D$8,2)</f>
        <v>0.6</v>
      </c>
      <c r="H120" s="26">
        <f>ROUND(F120*見積!$D$8,2)</f>
        <v>0.72</v>
      </c>
      <c r="I120" s="25" t="s">
        <v>200</v>
      </c>
    </row>
    <row r="121" spans="1:9" x14ac:dyDescent="0.15">
      <c r="A121" s="25">
        <v>120</v>
      </c>
      <c r="B121" s="25" t="s">
        <v>44</v>
      </c>
      <c r="C121" s="25" t="s">
        <v>221</v>
      </c>
      <c r="D121" s="25" t="s">
        <v>223</v>
      </c>
      <c r="E121" s="26">
        <v>0.6</v>
      </c>
      <c r="F121" s="26">
        <v>0.7</v>
      </c>
      <c r="G121" s="26">
        <f>ROUND(E121*見積!$D$8,2)</f>
        <v>0.72</v>
      </c>
      <c r="H121" s="26">
        <f>ROUND(F121*見積!$D$8,2)</f>
        <v>0.84</v>
      </c>
      <c r="I121" s="25" t="s">
        <v>200</v>
      </c>
    </row>
    <row r="122" spans="1:9" x14ac:dyDescent="0.15">
      <c r="A122" s="25">
        <v>121</v>
      </c>
      <c r="B122" s="25" t="s">
        <v>44</v>
      </c>
      <c r="C122" s="25" t="s">
        <v>224</v>
      </c>
      <c r="D122" s="25" t="s">
        <v>225</v>
      </c>
      <c r="E122" s="26">
        <v>0.6</v>
      </c>
      <c r="F122" s="26">
        <v>0.7</v>
      </c>
      <c r="G122" s="26">
        <f>ROUND(E122*見積!$D$8,2)</f>
        <v>0.72</v>
      </c>
      <c r="H122" s="26">
        <f>ROUND(F122*見積!$D$8,2)</f>
        <v>0.84</v>
      </c>
      <c r="I122" s="25" t="s">
        <v>200</v>
      </c>
    </row>
    <row r="123" spans="1:9" x14ac:dyDescent="0.15">
      <c r="A123" s="25">
        <v>122</v>
      </c>
      <c r="B123" s="25" t="s">
        <v>44</v>
      </c>
      <c r="C123" s="25" t="s">
        <v>224</v>
      </c>
      <c r="D123" s="25" t="s">
        <v>226</v>
      </c>
      <c r="E123" s="26">
        <v>0.1</v>
      </c>
      <c r="F123" s="26">
        <v>0.1</v>
      </c>
      <c r="G123" s="26">
        <f>ROUND(E123*見積!$D$8,2)</f>
        <v>0.12</v>
      </c>
      <c r="H123" s="26">
        <f>ROUND(F123*見積!$D$8,2)</f>
        <v>0.12</v>
      </c>
      <c r="I123" s="25" t="s">
        <v>105</v>
      </c>
    </row>
    <row r="124" spans="1:9" x14ac:dyDescent="0.15">
      <c r="A124" s="25">
        <v>123</v>
      </c>
      <c r="B124" s="25" t="s">
        <v>44</v>
      </c>
      <c r="C124" s="25" t="s">
        <v>224</v>
      </c>
      <c r="D124" s="25" t="s">
        <v>227</v>
      </c>
      <c r="E124" s="26">
        <v>0.2</v>
      </c>
      <c r="F124" s="26">
        <v>0.2</v>
      </c>
      <c r="G124" s="26">
        <f>ROUND(E124*見積!$D$8,2)</f>
        <v>0.24</v>
      </c>
      <c r="H124" s="26">
        <f>ROUND(F124*見積!$D$8,2)</f>
        <v>0.24</v>
      </c>
      <c r="I124" s="25" t="s">
        <v>200</v>
      </c>
    </row>
    <row r="125" spans="1:9" x14ac:dyDescent="0.15">
      <c r="A125" s="25">
        <v>124</v>
      </c>
      <c r="B125" s="25" t="s">
        <v>44</v>
      </c>
      <c r="C125" s="25" t="s">
        <v>224</v>
      </c>
      <c r="D125" s="25" t="s">
        <v>228</v>
      </c>
      <c r="E125" s="26">
        <v>0.6</v>
      </c>
      <c r="F125" s="26">
        <v>0.8</v>
      </c>
      <c r="G125" s="26">
        <f>ROUND(E125*見積!$D$8,2)</f>
        <v>0.72</v>
      </c>
      <c r="H125" s="26">
        <f>ROUND(F125*見積!$D$8,2)</f>
        <v>0.96</v>
      </c>
      <c r="I125" s="25" t="s">
        <v>229</v>
      </c>
    </row>
    <row r="126" spans="1:9" x14ac:dyDescent="0.15">
      <c r="A126" s="25">
        <v>125</v>
      </c>
      <c r="B126" s="25" t="s">
        <v>44</v>
      </c>
      <c r="C126" s="25" t="s">
        <v>224</v>
      </c>
      <c r="D126" s="25" t="s">
        <v>230</v>
      </c>
      <c r="E126" s="26">
        <v>0.3</v>
      </c>
      <c r="F126" s="26">
        <v>0.4</v>
      </c>
      <c r="G126" s="26">
        <f>ROUND(E126*見積!$D$8,2)</f>
        <v>0.36</v>
      </c>
      <c r="H126" s="26">
        <f>ROUND(F126*見積!$D$8,2)</f>
        <v>0.48</v>
      </c>
      <c r="I126" s="25" t="s">
        <v>200</v>
      </c>
    </row>
    <row r="127" spans="1:9" x14ac:dyDescent="0.15">
      <c r="A127" s="25">
        <v>126</v>
      </c>
      <c r="B127" s="25" t="s">
        <v>44</v>
      </c>
      <c r="C127" s="25" t="s">
        <v>224</v>
      </c>
      <c r="D127" s="25" t="s">
        <v>231</v>
      </c>
      <c r="E127" s="26">
        <v>0.1</v>
      </c>
      <c r="F127" s="26">
        <v>0.1</v>
      </c>
      <c r="G127" s="26">
        <f>ROUND(E127*見積!$D$8,2)</f>
        <v>0.12</v>
      </c>
      <c r="H127" s="26">
        <f>ROUND(F127*見積!$D$8,2)</f>
        <v>0.12</v>
      </c>
      <c r="I127" s="25" t="s">
        <v>200</v>
      </c>
    </row>
    <row r="128" spans="1:9" x14ac:dyDescent="0.15">
      <c r="A128" s="25">
        <v>127</v>
      </c>
      <c r="B128" s="25" t="s">
        <v>44</v>
      </c>
      <c r="C128" s="25" t="s">
        <v>232</v>
      </c>
      <c r="D128" s="25" t="s">
        <v>233</v>
      </c>
      <c r="E128" s="26">
        <v>0.6</v>
      </c>
      <c r="F128" s="26">
        <v>0.7</v>
      </c>
      <c r="G128" s="26">
        <f>ROUND(E128*見積!$D$8,2)</f>
        <v>0.72</v>
      </c>
      <c r="H128" s="26">
        <f>ROUND(F128*見積!$D$8,2)</f>
        <v>0.84</v>
      </c>
      <c r="I128" s="25" t="s">
        <v>200</v>
      </c>
    </row>
    <row r="129" spans="1:9" x14ac:dyDescent="0.15">
      <c r="A129" s="25">
        <v>128</v>
      </c>
      <c r="B129" s="25" t="s">
        <v>44</v>
      </c>
      <c r="C129" s="25" t="s">
        <v>232</v>
      </c>
      <c r="D129" s="25" t="s">
        <v>234</v>
      </c>
      <c r="E129" s="26">
        <v>0.3</v>
      </c>
      <c r="F129" s="26">
        <v>0.3</v>
      </c>
      <c r="G129" s="26">
        <f>ROUND(E129*見積!$D$8,2)</f>
        <v>0.36</v>
      </c>
      <c r="H129" s="26">
        <f>ROUND(F129*見積!$D$8,2)</f>
        <v>0.36</v>
      </c>
      <c r="I129" s="25" t="s">
        <v>200</v>
      </c>
    </row>
    <row r="130" spans="1:9" x14ac:dyDescent="0.15">
      <c r="A130" s="25">
        <v>129</v>
      </c>
      <c r="B130" s="25" t="s">
        <v>44</v>
      </c>
      <c r="C130" s="25" t="s">
        <v>232</v>
      </c>
      <c r="D130" s="25" t="s">
        <v>235</v>
      </c>
      <c r="E130" s="26">
        <v>0.4</v>
      </c>
      <c r="F130" s="26">
        <v>0.5</v>
      </c>
      <c r="G130" s="26">
        <f>ROUND(E130*見積!$D$8,2)</f>
        <v>0.48</v>
      </c>
      <c r="H130" s="26">
        <f>ROUND(F130*見積!$D$8,2)</f>
        <v>0.6</v>
      </c>
      <c r="I130" s="25" t="s">
        <v>200</v>
      </c>
    </row>
    <row r="131" spans="1:9" x14ac:dyDescent="0.15">
      <c r="A131" s="25">
        <v>130</v>
      </c>
      <c r="B131" s="25" t="s">
        <v>44</v>
      </c>
      <c r="C131" s="25" t="s">
        <v>232</v>
      </c>
      <c r="D131" s="25" t="s">
        <v>236</v>
      </c>
      <c r="E131" s="26">
        <v>0.4</v>
      </c>
      <c r="F131" s="26">
        <v>0.5</v>
      </c>
      <c r="G131" s="26">
        <f>ROUND(E131*見積!$D$8,2)</f>
        <v>0.48</v>
      </c>
      <c r="H131" s="26">
        <f>ROUND(F131*見積!$D$8,2)</f>
        <v>0.6</v>
      </c>
      <c r="I131" s="25" t="s">
        <v>200</v>
      </c>
    </row>
    <row r="132" spans="1:9" x14ac:dyDescent="0.15">
      <c r="A132" s="25">
        <v>131</v>
      </c>
      <c r="B132" s="25" t="s">
        <v>44</v>
      </c>
      <c r="C132" s="25" t="s">
        <v>237</v>
      </c>
      <c r="D132" s="25" t="s">
        <v>238</v>
      </c>
      <c r="E132" s="26">
        <v>1.2</v>
      </c>
      <c r="F132" s="26">
        <v>1.4</v>
      </c>
      <c r="G132" s="26">
        <f>ROUND(E132*見積!$D$8,2)</f>
        <v>1.44</v>
      </c>
      <c r="H132" s="26">
        <f>ROUND(F132*見積!$D$8,2)</f>
        <v>1.68</v>
      </c>
      <c r="I132" s="25" t="s">
        <v>79</v>
      </c>
    </row>
    <row r="133" spans="1:9" x14ac:dyDescent="0.15">
      <c r="A133" s="25">
        <v>132</v>
      </c>
      <c r="B133" s="25" t="s">
        <v>44</v>
      </c>
      <c r="C133" s="25" t="s">
        <v>237</v>
      </c>
      <c r="D133" s="25" t="s">
        <v>239</v>
      </c>
      <c r="E133" s="26">
        <v>0.6</v>
      </c>
      <c r="F133" s="26">
        <v>0.7</v>
      </c>
      <c r="G133" s="26">
        <f>ROUND(E133*見積!$D$8,2)</f>
        <v>0.72</v>
      </c>
      <c r="H133" s="26">
        <f>ROUND(F133*見積!$D$8,2)</f>
        <v>0.84</v>
      </c>
      <c r="I133" s="25" t="s">
        <v>79</v>
      </c>
    </row>
    <row r="134" spans="1:9" x14ac:dyDescent="0.15">
      <c r="A134" s="25">
        <v>133</v>
      </c>
      <c r="B134" s="25" t="s">
        <v>44</v>
      </c>
      <c r="C134" s="25" t="s">
        <v>237</v>
      </c>
      <c r="D134" s="25" t="s">
        <v>240</v>
      </c>
      <c r="E134" s="26">
        <v>0.6</v>
      </c>
      <c r="F134" s="26">
        <v>0.7</v>
      </c>
      <c r="G134" s="26">
        <f>ROUND(E134*見積!$D$8,2)</f>
        <v>0.72</v>
      </c>
      <c r="H134" s="26">
        <f>ROUND(F134*見積!$D$8,2)</f>
        <v>0.84</v>
      </c>
      <c r="I134" s="25" t="s">
        <v>79</v>
      </c>
    </row>
    <row r="135" spans="1:9" x14ac:dyDescent="0.15">
      <c r="A135" s="25">
        <v>134</v>
      </c>
      <c r="B135" s="25" t="s">
        <v>44</v>
      </c>
      <c r="C135" s="25" t="s">
        <v>237</v>
      </c>
      <c r="D135" s="25" t="s">
        <v>241</v>
      </c>
      <c r="E135" s="26">
        <v>0.1</v>
      </c>
      <c r="F135" s="26">
        <v>0.1</v>
      </c>
      <c r="G135" s="26">
        <f>ROUND(E135*見積!$D$8,2)</f>
        <v>0.12</v>
      </c>
      <c r="H135" s="26">
        <f>ROUND(F135*見積!$D$8,2)</f>
        <v>0.12</v>
      </c>
      <c r="I135" s="25" t="s">
        <v>200</v>
      </c>
    </row>
    <row r="136" spans="1:9" x14ac:dyDescent="0.15">
      <c r="A136" s="25">
        <v>135</v>
      </c>
      <c r="B136" s="25" t="s">
        <v>46</v>
      </c>
      <c r="C136" s="25" t="s">
        <v>242</v>
      </c>
      <c r="D136" s="25" t="s">
        <v>243</v>
      </c>
      <c r="E136" s="26">
        <v>0.7</v>
      </c>
      <c r="F136" s="26">
        <v>0.8</v>
      </c>
      <c r="G136" s="26">
        <f>ROUND(E136*見積!$D$8,2)</f>
        <v>0.84</v>
      </c>
      <c r="H136" s="26">
        <f>ROUND(F136*見積!$D$8,2)</f>
        <v>0.96</v>
      </c>
      <c r="I136" s="25" t="s">
        <v>244</v>
      </c>
    </row>
    <row r="137" spans="1:9" x14ac:dyDescent="0.15">
      <c r="A137" s="25">
        <v>136</v>
      </c>
      <c r="B137" s="25" t="s">
        <v>46</v>
      </c>
      <c r="C137" s="25" t="s">
        <v>242</v>
      </c>
      <c r="D137" s="25" t="s">
        <v>245</v>
      </c>
      <c r="E137" s="26">
        <v>0.7</v>
      </c>
      <c r="F137" s="26">
        <v>0.8</v>
      </c>
      <c r="G137" s="26">
        <f>ROUND(E137*見積!$D$8,2)</f>
        <v>0.84</v>
      </c>
      <c r="H137" s="26">
        <f>ROUND(F137*見積!$D$8,2)</f>
        <v>0.96</v>
      </c>
      <c r="I137" s="25" t="s">
        <v>244</v>
      </c>
    </row>
    <row r="138" spans="1:9" x14ac:dyDescent="0.15">
      <c r="A138" s="25">
        <v>137</v>
      </c>
      <c r="B138" s="25" t="s">
        <v>46</v>
      </c>
      <c r="C138" s="25" t="s">
        <v>242</v>
      </c>
      <c r="D138" s="25" t="s">
        <v>246</v>
      </c>
      <c r="E138" s="26">
        <v>0.5</v>
      </c>
      <c r="F138" s="26">
        <v>0.6</v>
      </c>
      <c r="G138" s="26">
        <f>ROUND(E138*見積!$D$8,2)</f>
        <v>0.6</v>
      </c>
      <c r="H138" s="26">
        <f>ROUND(F138*見積!$D$8,2)</f>
        <v>0.72</v>
      </c>
      <c r="I138" s="25" t="s">
        <v>244</v>
      </c>
    </row>
    <row r="139" spans="1:9" x14ac:dyDescent="0.15">
      <c r="A139" s="25">
        <v>138</v>
      </c>
      <c r="B139" s="25" t="s">
        <v>46</v>
      </c>
      <c r="C139" s="25" t="s">
        <v>247</v>
      </c>
      <c r="D139" s="25" t="s">
        <v>248</v>
      </c>
      <c r="E139" s="26">
        <v>0.5</v>
      </c>
      <c r="F139" s="26">
        <v>0.6</v>
      </c>
      <c r="G139" s="26">
        <f>ROUND(E139*見積!$D$8,2)</f>
        <v>0.6</v>
      </c>
      <c r="H139" s="26">
        <f>ROUND(F139*見積!$D$8,2)</f>
        <v>0.72</v>
      </c>
      <c r="I139" s="25" t="s">
        <v>244</v>
      </c>
    </row>
    <row r="140" spans="1:9" x14ac:dyDescent="0.15">
      <c r="A140" s="25">
        <v>139</v>
      </c>
      <c r="B140" s="25" t="s">
        <v>46</v>
      </c>
      <c r="C140" s="25" t="s">
        <v>247</v>
      </c>
      <c r="D140" s="25" t="s">
        <v>249</v>
      </c>
      <c r="E140" s="26">
        <v>0.5</v>
      </c>
      <c r="F140" s="26">
        <v>0.6</v>
      </c>
      <c r="G140" s="26">
        <f>ROUND(E140*見積!$D$8,2)</f>
        <v>0.6</v>
      </c>
      <c r="H140" s="26">
        <f>ROUND(F140*見積!$D$8,2)</f>
        <v>0.72</v>
      </c>
      <c r="I140" s="25" t="s">
        <v>244</v>
      </c>
    </row>
    <row r="141" spans="1:9" x14ac:dyDescent="0.15">
      <c r="A141" s="25">
        <v>140</v>
      </c>
      <c r="B141" s="25" t="s">
        <v>46</v>
      </c>
      <c r="C141" s="25" t="s">
        <v>247</v>
      </c>
      <c r="D141" s="25" t="s">
        <v>250</v>
      </c>
      <c r="E141" s="26">
        <v>0.5</v>
      </c>
      <c r="F141" s="26">
        <v>0.6</v>
      </c>
      <c r="G141" s="26">
        <f>ROUND(E141*見積!$D$8,2)</f>
        <v>0.6</v>
      </c>
      <c r="H141" s="26">
        <f>ROUND(F141*見積!$D$8,2)</f>
        <v>0.72</v>
      </c>
      <c r="I141" s="25" t="s">
        <v>244</v>
      </c>
    </row>
    <row r="142" spans="1:9" x14ac:dyDescent="0.15">
      <c r="A142" s="25">
        <v>141</v>
      </c>
      <c r="B142" s="25" t="s">
        <v>46</v>
      </c>
      <c r="C142" s="25" t="s">
        <v>247</v>
      </c>
      <c r="D142" s="25" t="s">
        <v>251</v>
      </c>
      <c r="E142" s="26">
        <v>0.1</v>
      </c>
      <c r="F142" s="26">
        <v>0.1</v>
      </c>
      <c r="G142" s="26">
        <f>ROUND(E142*見積!$D$8,2)</f>
        <v>0.12</v>
      </c>
      <c r="H142" s="26">
        <f>ROUND(F142*見積!$D$8,2)</f>
        <v>0.12</v>
      </c>
      <c r="I142" s="25" t="s">
        <v>244</v>
      </c>
    </row>
    <row r="143" spans="1:9" x14ac:dyDescent="0.15">
      <c r="A143" s="25">
        <v>142</v>
      </c>
      <c r="B143" s="25" t="s">
        <v>46</v>
      </c>
      <c r="C143" s="25" t="s">
        <v>252</v>
      </c>
      <c r="D143" s="25" t="s">
        <v>253</v>
      </c>
      <c r="E143" s="26">
        <v>0.7</v>
      </c>
      <c r="F143" s="26">
        <v>0.8</v>
      </c>
      <c r="G143" s="26">
        <f>ROUND(E143*見積!$D$8,2)</f>
        <v>0.84</v>
      </c>
      <c r="H143" s="26">
        <f>ROUND(F143*見積!$D$8,2)</f>
        <v>0.96</v>
      </c>
      <c r="I143" s="25" t="s">
        <v>244</v>
      </c>
    </row>
    <row r="144" spans="1:9" x14ac:dyDescent="0.15">
      <c r="A144" s="25">
        <v>143</v>
      </c>
      <c r="B144" s="25" t="s">
        <v>46</v>
      </c>
      <c r="C144" s="25" t="s">
        <v>252</v>
      </c>
      <c r="D144" s="25" t="s">
        <v>254</v>
      </c>
      <c r="E144" s="26">
        <v>0.7</v>
      </c>
      <c r="F144" s="26">
        <v>0.8</v>
      </c>
      <c r="G144" s="26">
        <f>ROUND(E144*見積!$D$8,2)</f>
        <v>0.84</v>
      </c>
      <c r="H144" s="26">
        <f>ROUND(F144*見積!$D$8,2)</f>
        <v>0.96</v>
      </c>
      <c r="I144" s="25" t="s">
        <v>244</v>
      </c>
    </row>
    <row r="145" spans="1:9" ht="27" x14ac:dyDescent="0.15">
      <c r="A145" s="25">
        <v>144</v>
      </c>
      <c r="B145" s="25" t="s">
        <v>46</v>
      </c>
      <c r="C145" s="25" t="s">
        <v>252</v>
      </c>
      <c r="D145" s="25" t="s">
        <v>255</v>
      </c>
      <c r="E145" s="26">
        <v>1.6</v>
      </c>
      <c r="F145" s="26">
        <v>2</v>
      </c>
      <c r="G145" s="26">
        <f>ROUND(E145*見積!$D$8,2)</f>
        <v>1.92</v>
      </c>
      <c r="H145" s="26">
        <f>ROUND(F145*見積!$D$8,2)</f>
        <v>2.4</v>
      </c>
      <c r="I145" s="25" t="s">
        <v>107</v>
      </c>
    </row>
    <row r="146" spans="1:9" x14ac:dyDescent="0.15">
      <c r="A146" s="25">
        <v>145</v>
      </c>
      <c r="B146" s="25" t="s">
        <v>46</v>
      </c>
      <c r="C146" s="25" t="s">
        <v>252</v>
      </c>
      <c r="D146" s="25" t="s">
        <v>256</v>
      </c>
      <c r="E146" s="26">
        <v>0.5</v>
      </c>
      <c r="F146" s="26">
        <v>0.6</v>
      </c>
      <c r="G146" s="26">
        <f>ROUND(E146*見積!$D$8,2)</f>
        <v>0.6</v>
      </c>
      <c r="H146" s="26">
        <f>ROUND(F146*見積!$D$8,2)</f>
        <v>0.72</v>
      </c>
      <c r="I146" s="25" t="s">
        <v>244</v>
      </c>
    </row>
    <row r="147" spans="1:9" x14ac:dyDescent="0.15">
      <c r="A147" s="25">
        <v>146</v>
      </c>
      <c r="B147" s="25" t="s">
        <v>46</v>
      </c>
      <c r="C147" s="25" t="s">
        <v>257</v>
      </c>
      <c r="D147" s="25" t="s">
        <v>258</v>
      </c>
      <c r="E147" s="26">
        <v>0.7</v>
      </c>
      <c r="F147" s="26">
        <v>0.8</v>
      </c>
      <c r="G147" s="26">
        <f>ROUND(E147*見積!$D$8,2)</f>
        <v>0.84</v>
      </c>
      <c r="H147" s="26">
        <f>ROUND(F147*見積!$D$8,2)</f>
        <v>0.96</v>
      </c>
      <c r="I147" s="25" t="s">
        <v>244</v>
      </c>
    </row>
    <row r="148" spans="1:9" x14ac:dyDescent="0.15">
      <c r="A148" s="25">
        <v>147</v>
      </c>
      <c r="B148" s="25" t="s">
        <v>46</v>
      </c>
      <c r="C148" s="25" t="s">
        <v>257</v>
      </c>
      <c r="D148" s="25" t="s">
        <v>259</v>
      </c>
      <c r="E148" s="26">
        <v>1.2</v>
      </c>
      <c r="F148" s="26">
        <v>1.5</v>
      </c>
      <c r="G148" s="26">
        <f>ROUND(E148*見積!$D$8,2)</f>
        <v>1.44</v>
      </c>
      <c r="H148" s="26">
        <f>ROUND(F148*見積!$D$8,2)</f>
        <v>1.8</v>
      </c>
      <c r="I148" s="25" t="s">
        <v>244</v>
      </c>
    </row>
    <row r="149" spans="1:9" x14ac:dyDescent="0.15">
      <c r="A149" s="25">
        <v>148</v>
      </c>
      <c r="B149" s="25" t="s">
        <v>46</v>
      </c>
      <c r="C149" s="25" t="s">
        <v>257</v>
      </c>
      <c r="D149" s="25" t="s">
        <v>260</v>
      </c>
      <c r="E149" s="26">
        <v>0.9</v>
      </c>
      <c r="F149" s="26">
        <v>1.1000000000000001</v>
      </c>
      <c r="G149" s="26">
        <f>ROUND(E149*見積!$D$8,2)</f>
        <v>1.08</v>
      </c>
      <c r="H149" s="26">
        <f>ROUND(F149*見積!$D$8,2)</f>
        <v>1.32</v>
      </c>
      <c r="I149" s="25" t="s">
        <v>244</v>
      </c>
    </row>
    <row r="150" spans="1:9" x14ac:dyDescent="0.15">
      <c r="A150" s="25">
        <v>149</v>
      </c>
      <c r="B150" s="25" t="s">
        <v>46</v>
      </c>
      <c r="C150" s="25" t="s">
        <v>257</v>
      </c>
      <c r="D150" s="25" t="s">
        <v>261</v>
      </c>
      <c r="E150" s="26">
        <v>0.4</v>
      </c>
      <c r="F150" s="26">
        <v>0.5</v>
      </c>
      <c r="G150" s="26">
        <f>ROUND(E150*見積!$D$8,2)</f>
        <v>0.48</v>
      </c>
      <c r="H150" s="26">
        <f>ROUND(F150*見積!$D$8,2)</f>
        <v>0.6</v>
      </c>
      <c r="I150" s="25" t="s">
        <v>244</v>
      </c>
    </row>
    <row r="151" spans="1:9" x14ac:dyDescent="0.15">
      <c r="A151" s="25">
        <v>150</v>
      </c>
      <c r="B151" s="25" t="s">
        <v>46</v>
      </c>
      <c r="C151" s="25" t="s">
        <v>262</v>
      </c>
      <c r="D151" s="25" t="s">
        <v>263</v>
      </c>
      <c r="E151" s="26">
        <v>0.1</v>
      </c>
      <c r="F151" s="26">
        <v>0.1</v>
      </c>
      <c r="G151" s="26">
        <f>ROUND(E151*見積!$D$8,2)</f>
        <v>0.12</v>
      </c>
      <c r="H151" s="26">
        <f>ROUND(F151*見積!$D$8,2)</f>
        <v>0.12</v>
      </c>
      <c r="I151" s="25" t="s">
        <v>264</v>
      </c>
    </row>
    <row r="152" spans="1:9" x14ac:dyDescent="0.15">
      <c r="A152" s="25">
        <v>151</v>
      </c>
      <c r="B152" s="25" t="s">
        <v>46</v>
      </c>
      <c r="C152" s="25" t="s">
        <v>262</v>
      </c>
      <c r="D152" s="25" t="s">
        <v>265</v>
      </c>
      <c r="E152" s="26">
        <v>0.1</v>
      </c>
      <c r="F152" s="26">
        <v>0.1</v>
      </c>
      <c r="G152" s="26">
        <f>ROUND(E152*見積!$D$8,2)</f>
        <v>0.12</v>
      </c>
      <c r="H152" s="26">
        <f>ROUND(F152*見積!$D$8,2)</f>
        <v>0.12</v>
      </c>
      <c r="I152" s="25" t="s">
        <v>264</v>
      </c>
    </row>
    <row r="153" spans="1:9" x14ac:dyDescent="0.15">
      <c r="A153" s="25">
        <v>152</v>
      </c>
      <c r="B153" s="25" t="s">
        <v>46</v>
      </c>
      <c r="C153" s="25" t="s">
        <v>262</v>
      </c>
      <c r="D153" s="25" t="s">
        <v>266</v>
      </c>
      <c r="E153" s="26">
        <v>0.6</v>
      </c>
      <c r="F153" s="26">
        <v>0.7</v>
      </c>
      <c r="G153" s="26">
        <f>ROUND(E153*見積!$D$8,2)</f>
        <v>0.72</v>
      </c>
      <c r="H153" s="26">
        <f>ROUND(F153*見積!$D$8,2)</f>
        <v>0.84</v>
      </c>
      <c r="I153" s="25" t="s">
        <v>264</v>
      </c>
    </row>
    <row r="154" spans="1:9" x14ac:dyDescent="0.15">
      <c r="A154" s="25">
        <v>153</v>
      </c>
      <c r="B154" s="25" t="s">
        <v>46</v>
      </c>
      <c r="C154" s="25" t="s">
        <v>262</v>
      </c>
      <c r="D154" s="25" t="s">
        <v>267</v>
      </c>
      <c r="E154" s="26">
        <v>0.7</v>
      </c>
      <c r="F154" s="26">
        <v>0.8</v>
      </c>
      <c r="G154" s="26">
        <f>ROUND(E154*見積!$D$8,2)</f>
        <v>0.84</v>
      </c>
      <c r="H154" s="26">
        <f>ROUND(F154*見積!$D$8,2)</f>
        <v>0.96</v>
      </c>
      <c r="I154" s="25" t="s">
        <v>264</v>
      </c>
    </row>
    <row r="155" spans="1:9" ht="27" x14ac:dyDescent="0.15">
      <c r="A155" s="25">
        <v>154</v>
      </c>
      <c r="B155" s="25" t="s">
        <v>46</v>
      </c>
      <c r="C155" s="25" t="s">
        <v>262</v>
      </c>
      <c r="D155" s="25" t="s">
        <v>268</v>
      </c>
      <c r="E155" s="26">
        <v>1.4</v>
      </c>
      <c r="F155" s="26">
        <v>1.8</v>
      </c>
      <c r="G155" s="26">
        <f>ROUND(E155*見積!$D$8,2)</f>
        <v>1.68</v>
      </c>
      <c r="H155" s="26">
        <f>ROUND(F155*見積!$D$8,2)</f>
        <v>2.16</v>
      </c>
      <c r="I155" s="25" t="s">
        <v>107</v>
      </c>
    </row>
    <row r="156" spans="1:9" x14ac:dyDescent="0.15">
      <c r="A156" s="25">
        <v>155</v>
      </c>
      <c r="B156" s="25" t="s">
        <v>46</v>
      </c>
      <c r="C156" s="25" t="s">
        <v>262</v>
      </c>
      <c r="D156" s="25" t="s">
        <v>269</v>
      </c>
      <c r="E156" s="26">
        <v>0.3</v>
      </c>
      <c r="F156" s="26">
        <v>0.5</v>
      </c>
      <c r="G156" s="26">
        <f>ROUND(E156*見積!$D$8,2)</f>
        <v>0.36</v>
      </c>
      <c r="H156" s="26">
        <f>ROUND(F156*見積!$D$8,2)</f>
        <v>0.6</v>
      </c>
      <c r="I156" s="25" t="s">
        <v>264</v>
      </c>
    </row>
    <row r="157" spans="1:9" ht="27" x14ac:dyDescent="0.15">
      <c r="A157" s="25">
        <v>156</v>
      </c>
      <c r="B157" s="25" t="s">
        <v>48</v>
      </c>
      <c r="C157" s="25" t="s">
        <v>270</v>
      </c>
      <c r="D157" s="25" t="s">
        <v>271</v>
      </c>
      <c r="E157" s="26">
        <v>1.9</v>
      </c>
      <c r="F157" s="26">
        <v>2.2000000000000002</v>
      </c>
      <c r="G157" s="26">
        <f>ROUND(E157*見積!$D$8,2)</f>
        <v>2.2799999999999998</v>
      </c>
      <c r="H157" s="26">
        <f>ROUND(F157*見積!$D$8,2)</f>
        <v>2.64</v>
      </c>
      <c r="I157" s="25" t="s">
        <v>107</v>
      </c>
    </row>
    <row r="158" spans="1:9" ht="27" x14ac:dyDescent="0.15">
      <c r="A158" s="25">
        <v>157</v>
      </c>
      <c r="B158" s="25" t="s">
        <v>48</v>
      </c>
      <c r="C158" s="25" t="s">
        <v>270</v>
      </c>
      <c r="D158" s="25" t="s">
        <v>272</v>
      </c>
      <c r="E158" s="26">
        <v>1.1000000000000001</v>
      </c>
      <c r="F158" s="26">
        <v>1.3</v>
      </c>
      <c r="G158" s="26">
        <f>ROUND(E158*見積!$D$8,2)</f>
        <v>1.32</v>
      </c>
      <c r="H158" s="26">
        <f>ROUND(F158*見積!$D$8,2)</f>
        <v>1.56</v>
      </c>
      <c r="I158" s="25" t="s">
        <v>107</v>
      </c>
    </row>
    <row r="159" spans="1:9" x14ac:dyDescent="0.15">
      <c r="A159" s="25">
        <v>158</v>
      </c>
      <c r="B159" s="25" t="s">
        <v>48</v>
      </c>
      <c r="C159" s="25" t="s">
        <v>270</v>
      </c>
      <c r="D159" s="25" t="s">
        <v>273</v>
      </c>
      <c r="E159" s="26">
        <v>0.3</v>
      </c>
      <c r="F159" s="26">
        <v>0.5</v>
      </c>
      <c r="G159" s="26">
        <f>ROUND(E159*見積!$D$8,2)</f>
        <v>0.36</v>
      </c>
      <c r="H159" s="26">
        <f>ROUND(F159*見積!$D$8,2)</f>
        <v>0.6</v>
      </c>
      <c r="I159" s="25" t="s">
        <v>274</v>
      </c>
    </row>
    <row r="160" spans="1:9" x14ac:dyDescent="0.15">
      <c r="A160" s="25">
        <v>159</v>
      </c>
      <c r="B160" s="25" t="s">
        <v>48</v>
      </c>
      <c r="C160" s="25" t="s">
        <v>275</v>
      </c>
      <c r="D160" s="25" t="s">
        <v>276</v>
      </c>
      <c r="E160" s="26">
        <v>0.6</v>
      </c>
      <c r="F160" s="26">
        <v>0.7</v>
      </c>
      <c r="G160" s="26">
        <f>ROUND(E160*見積!$D$8,2)</f>
        <v>0.72</v>
      </c>
      <c r="H160" s="26">
        <f>ROUND(F160*見積!$D$8,2)</f>
        <v>0.84</v>
      </c>
      <c r="I160" s="25" t="s">
        <v>274</v>
      </c>
    </row>
    <row r="161" spans="1:9" x14ac:dyDescent="0.15">
      <c r="A161" s="25">
        <v>160</v>
      </c>
      <c r="B161" s="25" t="s">
        <v>48</v>
      </c>
      <c r="C161" s="25" t="s">
        <v>275</v>
      </c>
      <c r="D161" s="25" t="s">
        <v>277</v>
      </c>
      <c r="E161" s="26">
        <v>0.5</v>
      </c>
      <c r="F161" s="26">
        <v>0.6</v>
      </c>
      <c r="G161" s="26">
        <f>ROUND(E161*見積!$D$8,2)</f>
        <v>0.6</v>
      </c>
      <c r="H161" s="26">
        <f>ROUND(F161*見積!$D$8,2)</f>
        <v>0.72</v>
      </c>
      <c r="I161" s="25" t="s">
        <v>274</v>
      </c>
    </row>
    <row r="162" spans="1:9" x14ac:dyDescent="0.15">
      <c r="A162" s="25">
        <v>161</v>
      </c>
      <c r="B162" s="25" t="s">
        <v>48</v>
      </c>
      <c r="C162" s="25" t="s">
        <v>275</v>
      </c>
      <c r="D162" s="25" t="s">
        <v>278</v>
      </c>
      <c r="E162" s="26">
        <v>0.7</v>
      </c>
      <c r="F162" s="26">
        <v>0.8</v>
      </c>
      <c r="G162" s="26">
        <f>ROUND(E162*見積!$D$8,2)</f>
        <v>0.84</v>
      </c>
      <c r="H162" s="26">
        <f>ROUND(F162*見積!$D$8,2)</f>
        <v>0.96</v>
      </c>
      <c r="I162" s="25" t="s">
        <v>274</v>
      </c>
    </row>
    <row r="163" spans="1:9" x14ac:dyDescent="0.15">
      <c r="A163" s="25">
        <v>162</v>
      </c>
      <c r="B163" s="25" t="s">
        <v>48</v>
      </c>
      <c r="C163" s="25" t="s">
        <v>275</v>
      </c>
      <c r="D163" s="25" t="s">
        <v>279</v>
      </c>
      <c r="E163" s="26">
        <v>0.1</v>
      </c>
      <c r="F163" s="26">
        <v>0.1</v>
      </c>
      <c r="G163" s="26">
        <f>ROUND(E163*見積!$D$8,2)</f>
        <v>0.12</v>
      </c>
      <c r="H163" s="26">
        <f>ROUND(F163*見積!$D$8,2)</f>
        <v>0.12</v>
      </c>
      <c r="I163" s="25" t="s">
        <v>274</v>
      </c>
    </row>
    <row r="164" spans="1:9" x14ac:dyDescent="0.15">
      <c r="A164" s="25">
        <v>163</v>
      </c>
      <c r="B164" s="25" t="s">
        <v>48</v>
      </c>
      <c r="C164" s="25" t="s">
        <v>275</v>
      </c>
      <c r="D164" s="25" t="s">
        <v>280</v>
      </c>
      <c r="E164" s="26">
        <v>0.1</v>
      </c>
      <c r="F164" s="26">
        <v>0.1</v>
      </c>
      <c r="G164" s="26">
        <f>ROUND(E164*見積!$D$8,2)</f>
        <v>0.12</v>
      </c>
      <c r="H164" s="26">
        <f>ROUND(F164*見積!$D$8,2)</f>
        <v>0.12</v>
      </c>
      <c r="I164" s="25" t="s">
        <v>274</v>
      </c>
    </row>
    <row r="165" spans="1:9" x14ac:dyDescent="0.15">
      <c r="A165" s="25">
        <v>164</v>
      </c>
      <c r="B165" s="25" t="s">
        <v>48</v>
      </c>
      <c r="C165" s="25" t="s">
        <v>281</v>
      </c>
      <c r="D165" s="25" t="s">
        <v>282</v>
      </c>
      <c r="E165" s="26">
        <v>0.5</v>
      </c>
      <c r="F165" s="26">
        <v>0.6</v>
      </c>
      <c r="G165" s="26">
        <f>ROUND(E165*見積!$D$8,2)</f>
        <v>0.6</v>
      </c>
      <c r="H165" s="26">
        <f>ROUND(F165*見積!$D$8,2)</f>
        <v>0.72</v>
      </c>
      <c r="I165" s="25" t="s">
        <v>274</v>
      </c>
    </row>
    <row r="166" spans="1:9" x14ac:dyDescent="0.15">
      <c r="A166" s="25">
        <v>165</v>
      </c>
      <c r="B166" s="25" t="s">
        <v>48</v>
      </c>
      <c r="C166" s="25" t="s">
        <v>281</v>
      </c>
      <c r="D166" s="25" t="s">
        <v>283</v>
      </c>
      <c r="E166" s="26">
        <v>0.5</v>
      </c>
      <c r="F166" s="26">
        <v>0.6</v>
      </c>
      <c r="G166" s="26">
        <f>ROUND(E166*見積!$D$8,2)</f>
        <v>0.6</v>
      </c>
      <c r="H166" s="26">
        <f>ROUND(F166*見積!$D$8,2)</f>
        <v>0.72</v>
      </c>
      <c r="I166" s="25" t="s">
        <v>274</v>
      </c>
    </row>
    <row r="167" spans="1:9" x14ac:dyDescent="0.15">
      <c r="A167" s="25">
        <v>166</v>
      </c>
      <c r="B167" s="25" t="s">
        <v>48</v>
      </c>
      <c r="C167" s="25" t="s">
        <v>281</v>
      </c>
      <c r="D167" s="25" t="s">
        <v>284</v>
      </c>
      <c r="E167" s="26">
        <v>0.5</v>
      </c>
      <c r="F167" s="26">
        <v>0.6</v>
      </c>
      <c r="G167" s="26">
        <f>ROUND(E167*見積!$D$8,2)</f>
        <v>0.6</v>
      </c>
      <c r="H167" s="26">
        <f>ROUND(F167*見積!$D$8,2)</f>
        <v>0.72</v>
      </c>
      <c r="I167" s="25" t="s">
        <v>274</v>
      </c>
    </row>
    <row r="168" spans="1:9" x14ac:dyDescent="0.15">
      <c r="A168" s="25">
        <v>167</v>
      </c>
      <c r="B168" s="25" t="s">
        <v>48</v>
      </c>
      <c r="C168" s="25" t="s">
        <v>285</v>
      </c>
      <c r="D168" s="25" t="s">
        <v>286</v>
      </c>
      <c r="E168" s="26">
        <v>0.3</v>
      </c>
      <c r="F168" s="26">
        <v>0.3</v>
      </c>
      <c r="G168" s="26">
        <f>ROUND(E168*見積!$D$8,2)</f>
        <v>0.36</v>
      </c>
      <c r="H168" s="26">
        <f>ROUND(F168*見積!$D$8,2)</f>
        <v>0.36</v>
      </c>
      <c r="I168" s="25" t="s">
        <v>274</v>
      </c>
    </row>
    <row r="169" spans="1:9" x14ac:dyDescent="0.15">
      <c r="A169" s="25">
        <v>168</v>
      </c>
      <c r="B169" s="25" t="s">
        <v>48</v>
      </c>
      <c r="C169" s="25" t="s">
        <v>285</v>
      </c>
      <c r="D169" s="25" t="s">
        <v>287</v>
      </c>
      <c r="E169" s="26">
        <v>0.3</v>
      </c>
      <c r="F169" s="26">
        <v>0.3</v>
      </c>
      <c r="G169" s="26">
        <f>ROUND(E169*見積!$D$8,2)</f>
        <v>0.36</v>
      </c>
      <c r="H169" s="26">
        <f>ROUND(F169*見積!$D$8,2)</f>
        <v>0.36</v>
      </c>
      <c r="I169" s="25" t="s">
        <v>274</v>
      </c>
    </row>
    <row r="170" spans="1:9" x14ac:dyDescent="0.15">
      <c r="A170" s="25">
        <v>169</v>
      </c>
      <c r="B170" s="25" t="s">
        <v>48</v>
      </c>
      <c r="C170" s="25" t="s">
        <v>285</v>
      </c>
      <c r="D170" s="25" t="s">
        <v>288</v>
      </c>
      <c r="E170" s="26">
        <v>0.3</v>
      </c>
      <c r="F170" s="26">
        <v>0.3</v>
      </c>
      <c r="G170" s="26">
        <f>ROUND(E170*見積!$D$8,2)</f>
        <v>0.36</v>
      </c>
      <c r="H170" s="26">
        <f>ROUND(F170*見積!$D$8,2)</f>
        <v>0.36</v>
      </c>
      <c r="I170" s="25" t="s">
        <v>274</v>
      </c>
    </row>
    <row r="171" spans="1:9" x14ac:dyDescent="0.15">
      <c r="A171" s="25">
        <v>170</v>
      </c>
      <c r="B171" s="25" t="s">
        <v>48</v>
      </c>
      <c r="C171" s="25" t="s">
        <v>289</v>
      </c>
      <c r="D171" s="25" t="s">
        <v>290</v>
      </c>
      <c r="E171" s="26">
        <v>0.1</v>
      </c>
      <c r="F171" s="26">
        <v>0.1</v>
      </c>
      <c r="G171" s="26">
        <f>ROUND(E171*見積!$D$8,2)</f>
        <v>0.12</v>
      </c>
      <c r="H171" s="26">
        <f>ROUND(F171*見積!$D$8,2)</f>
        <v>0.12</v>
      </c>
      <c r="I171" s="25" t="s">
        <v>274</v>
      </c>
    </row>
    <row r="172" spans="1:9" x14ac:dyDescent="0.15">
      <c r="A172" s="25">
        <v>171</v>
      </c>
      <c r="B172" s="25" t="s">
        <v>48</v>
      </c>
      <c r="C172" s="25" t="s">
        <v>289</v>
      </c>
      <c r="D172" s="25" t="s">
        <v>291</v>
      </c>
      <c r="E172" s="26">
        <v>0.2</v>
      </c>
      <c r="F172" s="26">
        <v>0.2</v>
      </c>
      <c r="G172" s="26">
        <f>ROUND(E172*見積!$D$8,2)</f>
        <v>0.24</v>
      </c>
      <c r="H172" s="26">
        <f>ROUND(F172*見積!$D$8,2)</f>
        <v>0.24</v>
      </c>
      <c r="I172" s="25" t="s">
        <v>274</v>
      </c>
    </row>
    <row r="173" spans="1:9" x14ac:dyDescent="0.15">
      <c r="A173" s="25">
        <v>172</v>
      </c>
      <c r="B173" s="25" t="s">
        <v>48</v>
      </c>
      <c r="C173" s="25" t="s">
        <v>289</v>
      </c>
      <c r="D173" s="25" t="s">
        <v>292</v>
      </c>
      <c r="E173" s="26">
        <v>0.3</v>
      </c>
      <c r="F173" s="26">
        <v>0.3</v>
      </c>
      <c r="G173" s="26">
        <f>ROUND(E173*見積!$D$8,2)</f>
        <v>0.36</v>
      </c>
      <c r="H173" s="26">
        <f>ROUND(F173*見積!$D$8,2)</f>
        <v>0.36</v>
      </c>
      <c r="I173" s="25" t="s">
        <v>274</v>
      </c>
    </row>
    <row r="174" spans="1:9" x14ac:dyDescent="0.15">
      <c r="A174" s="25">
        <v>173</v>
      </c>
      <c r="B174" s="25" t="s">
        <v>50</v>
      </c>
      <c r="C174" s="25" t="s">
        <v>293</v>
      </c>
      <c r="D174" s="25" t="s">
        <v>294</v>
      </c>
      <c r="E174" s="26">
        <v>0.1</v>
      </c>
      <c r="F174" s="26">
        <v>0.1</v>
      </c>
      <c r="G174" s="26">
        <f>ROUND(E174*見積!$D$8,2)</f>
        <v>0.12</v>
      </c>
      <c r="H174" s="26">
        <f>ROUND(F174*見積!$D$8,2)</f>
        <v>0.12</v>
      </c>
      <c r="I174" s="25" t="s">
        <v>295</v>
      </c>
    </row>
    <row r="175" spans="1:9" x14ac:dyDescent="0.15">
      <c r="A175" s="25">
        <v>174</v>
      </c>
      <c r="B175" s="25" t="s">
        <v>50</v>
      </c>
      <c r="C175" s="25" t="s">
        <v>293</v>
      </c>
      <c r="D175" s="25" t="s">
        <v>296</v>
      </c>
      <c r="E175" s="26">
        <v>0.7</v>
      </c>
      <c r="F175" s="26">
        <v>0.9</v>
      </c>
      <c r="G175" s="26">
        <f>ROUND(E175*見積!$D$8,2)</f>
        <v>0.84</v>
      </c>
      <c r="H175" s="26">
        <f>ROUND(F175*見積!$D$8,2)</f>
        <v>1.08</v>
      </c>
      <c r="I175" s="25" t="s">
        <v>295</v>
      </c>
    </row>
    <row r="176" spans="1:9" x14ac:dyDescent="0.15">
      <c r="A176" s="25">
        <v>175</v>
      </c>
      <c r="B176" s="25" t="s">
        <v>50</v>
      </c>
      <c r="C176" s="25" t="s">
        <v>293</v>
      </c>
      <c r="D176" s="25" t="s">
        <v>297</v>
      </c>
      <c r="E176" s="26">
        <v>0.3</v>
      </c>
      <c r="F176" s="26">
        <v>0.3</v>
      </c>
      <c r="G176" s="26">
        <f>ROUND(E176*見積!$D$8,2)</f>
        <v>0.36</v>
      </c>
      <c r="H176" s="26">
        <f>ROUND(F176*見積!$D$8,2)</f>
        <v>0.36</v>
      </c>
      <c r="I176" s="25" t="s">
        <v>295</v>
      </c>
    </row>
    <row r="177" spans="1:9" x14ac:dyDescent="0.15">
      <c r="A177" s="25">
        <v>176</v>
      </c>
      <c r="B177" s="25" t="s">
        <v>50</v>
      </c>
      <c r="C177" s="25" t="s">
        <v>293</v>
      </c>
      <c r="D177" s="25" t="s">
        <v>298</v>
      </c>
      <c r="E177" s="26">
        <v>0.5</v>
      </c>
      <c r="F177" s="26">
        <v>0.5</v>
      </c>
      <c r="G177" s="26">
        <f>ROUND(E177*見積!$D$8,2)</f>
        <v>0.6</v>
      </c>
      <c r="H177" s="26">
        <f>ROUND(F177*見積!$D$8,2)</f>
        <v>0.6</v>
      </c>
      <c r="I177" s="25" t="s">
        <v>295</v>
      </c>
    </row>
    <row r="178" spans="1:9" x14ac:dyDescent="0.15">
      <c r="A178" s="25">
        <v>177</v>
      </c>
      <c r="B178" s="25" t="s">
        <v>50</v>
      </c>
      <c r="C178" s="25" t="s">
        <v>293</v>
      </c>
      <c r="D178" s="25" t="s">
        <v>299</v>
      </c>
      <c r="E178" s="26">
        <v>0.1</v>
      </c>
      <c r="F178" s="26">
        <v>0.1</v>
      </c>
      <c r="G178" s="26">
        <f>ROUND(E178*見積!$D$8,2)</f>
        <v>0.12</v>
      </c>
      <c r="H178" s="26">
        <f>ROUND(F178*見積!$D$8,2)</f>
        <v>0.12</v>
      </c>
      <c r="I178" s="25" t="s">
        <v>295</v>
      </c>
    </row>
    <row r="179" spans="1:9" x14ac:dyDescent="0.15">
      <c r="A179" s="25">
        <v>178</v>
      </c>
      <c r="B179" s="25" t="s">
        <v>50</v>
      </c>
      <c r="C179" s="25" t="s">
        <v>300</v>
      </c>
      <c r="D179" s="25" t="s">
        <v>301</v>
      </c>
      <c r="E179" s="26">
        <v>1.1000000000000001</v>
      </c>
      <c r="F179" s="26">
        <v>1.3</v>
      </c>
      <c r="G179" s="26">
        <f>ROUND(E179*見積!$D$8,2)</f>
        <v>1.32</v>
      </c>
      <c r="H179" s="26">
        <f>ROUND(F179*見積!$D$8,2)</f>
        <v>1.56</v>
      </c>
      <c r="I179" s="25" t="s">
        <v>295</v>
      </c>
    </row>
    <row r="180" spans="1:9" x14ac:dyDescent="0.15">
      <c r="A180" s="25">
        <v>179</v>
      </c>
      <c r="B180" s="25" t="s">
        <v>50</v>
      </c>
      <c r="C180" s="25" t="s">
        <v>300</v>
      </c>
      <c r="D180" s="25" t="s">
        <v>302</v>
      </c>
      <c r="E180" s="26">
        <v>0.5</v>
      </c>
      <c r="F180" s="26">
        <v>0.6</v>
      </c>
      <c r="G180" s="26">
        <f>ROUND(E180*見積!$D$8,2)</f>
        <v>0.6</v>
      </c>
      <c r="H180" s="26">
        <f>ROUND(F180*見積!$D$8,2)</f>
        <v>0.72</v>
      </c>
      <c r="I180" s="25" t="s">
        <v>295</v>
      </c>
    </row>
    <row r="181" spans="1:9" x14ac:dyDescent="0.15">
      <c r="A181" s="25">
        <v>180</v>
      </c>
      <c r="B181" s="25" t="s">
        <v>50</v>
      </c>
      <c r="C181" s="25" t="s">
        <v>300</v>
      </c>
      <c r="D181" s="25" t="s">
        <v>303</v>
      </c>
      <c r="E181" s="26">
        <v>0.5</v>
      </c>
      <c r="F181" s="26">
        <v>0.6</v>
      </c>
      <c r="G181" s="26">
        <f>ROUND(E181*見積!$D$8,2)</f>
        <v>0.6</v>
      </c>
      <c r="H181" s="26">
        <f>ROUND(F181*見積!$D$8,2)</f>
        <v>0.72</v>
      </c>
      <c r="I181" s="25" t="s">
        <v>295</v>
      </c>
    </row>
    <row r="182" spans="1:9" x14ac:dyDescent="0.15">
      <c r="A182" s="25">
        <v>181</v>
      </c>
      <c r="B182" s="25" t="s">
        <v>50</v>
      </c>
      <c r="C182" s="25" t="s">
        <v>300</v>
      </c>
      <c r="D182" s="25" t="s">
        <v>304</v>
      </c>
      <c r="E182" s="26">
        <v>0.3</v>
      </c>
      <c r="F182" s="26">
        <v>0.4</v>
      </c>
      <c r="G182" s="26">
        <f>ROUND(E182*見積!$D$8,2)</f>
        <v>0.36</v>
      </c>
      <c r="H182" s="26">
        <f>ROUND(F182*見積!$D$8,2)</f>
        <v>0.48</v>
      </c>
      <c r="I182" s="25" t="s">
        <v>295</v>
      </c>
    </row>
    <row r="183" spans="1:9" x14ac:dyDescent="0.15">
      <c r="A183" s="25">
        <v>182</v>
      </c>
      <c r="B183" s="25" t="s">
        <v>50</v>
      </c>
      <c r="C183" s="25" t="s">
        <v>300</v>
      </c>
      <c r="D183" s="25" t="s">
        <v>305</v>
      </c>
      <c r="E183" s="26">
        <v>0.3</v>
      </c>
      <c r="F183" s="26">
        <v>0.4</v>
      </c>
      <c r="G183" s="26">
        <f>ROUND(E183*見積!$D$8,2)</f>
        <v>0.36</v>
      </c>
      <c r="H183" s="26">
        <f>ROUND(F183*見積!$D$8,2)</f>
        <v>0.48</v>
      </c>
      <c r="I183" s="25" t="s">
        <v>295</v>
      </c>
    </row>
    <row r="184" spans="1:9" x14ac:dyDescent="0.15">
      <c r="A184" s="25">
        <v>183</v>
      </c>
      <c r="B184" s="25" t="s">
        <v>50</v>
      </c>
      <c r="C184" s="25" t="s">
        <v>300</v>
      </c>
      <c r="D184" s="25" t="s">
        <v>306</v>
      </c>
      <c r="E184" s="26">
        <v>0.1</v>
      </c>
      <c r="F184" s="26">
        <v>0.1</v>
      </c>
      <c r="G184" s="26">
        <f>ROUND(E184*見積!$D$8,2)</f>
        <v>0.12</v>
      </c>
      <c r="H184" s="26">
        <f>ROUND(F184*見積!$D$8,2)</f>
        <v>0.12</v>
      </c>
      <c r="I184" s="25" t="s">
        <v>177</v>
      </c>
    </row>
    <row r="185" spans="1:9" x14ac:dyDescent="0.15">
      <c r="A185" s="25">
        <v>184</v>
      </c>
      <c r="B185" s="25" t="s">
        <v>50</v>
      </c>
      <c r="C185" s="25" t="s">
        <v>307</v>
      </c>
      <c r="D185" s="25" t="s">
        <v>308</v>
      </c>
      <c r="E185" s="26">
        <v>0.5</v>
      </c>
      <c r="F185" s="26">
        <v>0.6</v>
      </c>
      <c r="G185" s="26">
        <f>ROUND(E185*見積!$D$8,2)</f>
        <v>0.6</v>
      </c>
      <c r="H185" s="26">
        <f>ROUND(F185*見積!$D$8,2)</f>
        <v>0.72</v>
      </c>
      <c r="I185" s="25" t="s">
        <v>295</v>
      </c>
    </row>
    <row r="186" spans="1:9" x14ac:dyDescent="0.15">
      <c r="A186" s="25">
        <v>185</v>
      </c>
      <c r="B186" s="25" t="s">
        <v>50</v>
      </c>
      <c r="C186" s="25" t="s">
        <v>307</v>
      </c>
      <c r="D186" s="25" t="s">
        <v>309</v>
      </c>
      <c r="E186" s="26">
        <v>0.5</v>
      </c>
      <c r="F186" s="26">
        <v>0.6</v>
      </c>
      <c r="G186" s="26">
        <f>ROUND(E186*見積!$D$8,2)</f>
        <v>0.6</v>
      </c>
      <c r="H186" s="26">
        <f>ROUND(F186*見積!$D$8,2)</f>
        <v>0.72</v>
      </c>
      <c r="I186" s="25" t="s">
        <v>295</v>
      </c>
    </row>
    <row r="187" spans="1:9" ht="27" x14ac:dyDescent="0.15">
      <c r="A187" s="25">
        <v>186</v>
      </c>
      <c r="B187" s="25" t="s">
        <v>52</v>
      </c>
      <c r="C187" s="25" t="s">
        <v>52</v>
      </c>
      <c r="D187" s="25" t="s">
        <v>310</v>
      </c>
      <c r="E187" s="26">
        <v>0.9</v>
      </c>
      <c r="F187" s="26">
        <v>1.1000000000000001</v>
      </c>
      <c r="G187" s="26">
        <f>ROUND(E187*見積!$D$8,2)</f>
        <v>1.08</v>
      </c>
      <c r="H187" s="26">
        <f>ROUND(F187*見積!$D$8,2)</f>
        <v>1.32</v>
      </c>
      <c r="I187" s="25" t="s">
        <v>107</v>
      </c>
    </row>
    <row r="188" spans="1:9" x14ac:dyDescent="0.15">
      <c r="A188" s="25">
        <v>187</v>
      </c>
      <c r="B188" s="25" t="s">
        <v>52</v>
      </c>
      <c r="C188" s="25" t="s">
        <v>52</v>
      </c>
      <c r="D188" s="25" t="s">
        <v>311</v>
      </c>
      <c r="E188" s="26">
        <v>0.4</v>
      </c>
      <c r="F188" s="26">
        <v>0.4</v>
      </c>
      <c r="G188" s="26">
        <f>ROUND(E188*見積!$D$8,2)</f>
        <v>0.48</v>
      </c>
      <c r="H188" s="26">
        <f>ROUND(F188*見積!$D$8,2)</f>
        <v>0.48</v>
      </c>
      <c r="I188" s="25" t="s">
        <v>312</v>
      </c>
    </row>
    <row r="189" spans="1:9" ht="27" x14ac:dyDescent="0.15">
      <c r="A189" s="25">
        <v>188</v>
      </c>
      <c r="B189" s="25" t="s">
        <v>52</v>
      </c>
      <c r="C189" s="25" t="s">
        <v>52</v>
      </c>
      <c r="D189" s="25" t="s">
        <v>313</v>
      </c>
      <c r="E189" s="26">
        <v>1.2</v>
      </c>
      <c r="F189" s="26">
        <v>1.5</v>
      </c>
      <c r="G189" s="26">
        <f>ROUND(E189*見積!$D$8,2)</f>
        <v>1.44</v>
      </c>
      <c r="H189" s="26">
        <f>ROUND(F189*見積!$D$8,2)</f>
        <v>1.8</v>
      </c>
      <c r="I189" s="25" t="s">
        <v>107</v>
      </c>
    </row>
    <row r="190" spans="1:9" ht="27" x14ac:dyDescent="0.15">
      <c r="A190" s="25">
        <v>189</v>
      </c>
      <c r="B190" s="25" t="s">
        <v>52</v>
      </c>
      <c r="C190" s="25" t="s">
        <v>52</v>
      </c>
      <c r="D190" s="25" t="s">
        <v>314</v>
      </c>
      <c r="E190" s="26">
        <v>1.3</v>
      </c>
      <c r="F190" s="26">
        <v>1.5</v>
      </c>
      <c r="G190" s="26">
        <f>ROUND(E190*見積!$D$8,2)</f>
        <v>1.56</v>
      </c>
      <c r="H190" s="26">
        <f>ROUND(F190*見積!$D$8,2)</f>
        <v>1.8</v>
      </c>
      <c r="I190" s="25" t="s">
        <v>107</v>
      </c>
    </row>
    <row r="191" spans="1:9" ht="27" x14ac:dyDescent="0.15">
      <c r="A191" s="25">
        <v>190</v>
      </c>
      <c r="B191" s="25" t="s">
        <v>52</v>
      </c>
      <c r="C191" s="25" t="s">
        <v>52</v>
      </c>
      <c r="D191" s="25" t="s">
        <v>315</v>
      </c>
      <c r="E191" s="26">
        <v>1</v>
      </c>
      <c r="F191" s="26">
        <v>1.3</v>
      </c>
      <c r="G191" s="26">
        <f>ROUND(E191*見積!$D$8,2)</f>
        <v>1.2</v>
      </c>
      <c r="H191" s="26">
        <f>ROUND(F191*見積!$D$8,2)</f>
        <v>1.56</v>
      </c>
      <c r="I191" s="25" t="s">
        <v>107</v>
      </c>
    </row>
    <row r="192" spans="1:9" x14ac:dyDescent="0.15">
      <c r="A192" s="25">
        <v>191</v>
      </c>
      <c r="B192" s="25" t="s">
        <v>52</v>
      </c>
      <c r="C192" s="25" t="s">
        <v>52</v>
      </c>
      <c r="D192" s="25" t="s">
        <v>316</v>
      </c>
      <c r="E192" s="26">
        <v>0.5</v>
      </c>
      <c r="F192" s="26">
        <v>0.6</v>
      </c>
      <c r="G192" s="26">
        <f>ROUND(E192*見積!$D$8,2)</f>
        <v>0.6</v>
      </c>
      <c r="H192" s="26">
        <f>ROUND(F192*見積!$D$8,2)</f>
        <v>0.72</v>
      </c>
      <c r="I192" s="25" t="s">
        <v>312</v>
      </c>
    </row>
    <row r="193" spans="1:9" x14ac:dyDescent="0.15">
      <c r="A193" s="25">
        <v>192</v>
      </c>
      <c r="B193" s="25" t="s">
        <v>52</v>
      </c>
      <c r="C193" s="25" t="s">
        <v>52</v>
      </c>
      <c r="D193" s="25" t="s">
        <v>317</v>
      </c>
      <c r="E193" s="26">
        <v>0.4</v>
      </c>
      <c r="F193" s="26">
        <v>0.4</v>
      </c>
      <c r="G193" s="26">
        <f>ROUND(E193*見積!$D$8,2)</f>
        <v>0.48</v>
      </c>
      <c r="H193" s="26">
        <f>ROUND(F193*見積!$D$8,2)</f>
        <v>0.48</v>
      </c>
      <c r="I193" s="25" t="s">
        <v>312</v>
      </c>
    </row>
    <row r="194" spans="1:9" x14ac:dyDescent="0.15">
      <c r="A194" s="25">
        <v>193</v>
      </c>
      <c r="B194" s="25" t="s">
        <v>52</v>
      </c>
      <c r="C194" s="25" t="s">
        <v>52</v>
      </c>
      <c r="D194" s="25" t="s">
        <v>318</v>
      </c>
      <c r="E194" s="26">
        <v>0.5</v>
      </c>
      <c r="F194" s="26">
        <v>0.6</v>
      </c>
      <c r="G194" s="26">
        <f>ROUND(E194*見積!$D$8,2)</f>
        <v>0.6</v>
      </c>
      <c r="H194" s="26">
        <f>ROUND(F194*見積!$D$8,2)</f>
        <v>0.72</v>
      </c>
      <c r="I194" s="25" t="s">
        <v>312</v>
      </c>
    </row>
    <row r="195" spans="1:9" x14ac:dyDescent="0.15">
      <c r="A195" s="25">
        <v>194</v>
      </c>
      <c r="B195" s="25" t="s">
        <v>52</v>
      </c>
      <c r="C195" s="25" t="s">
        <v>52</v>
      </c>
      <c r="D195" s="25" t="s">
        <v>319</v>
      </c>
      <c r="E195" s="26">
        <v>0.4</v>
      </c>
      <c r="F195" s="26">
        <v>0.4</v>
      </c>
      <c r="G195" s="26">
        <f>ROUND(E195*見積!$D$8,2)</f>
        <v>0.48</v>
      </c>
      <c r="H195" s="26">
        <f>ROUND(F195*見積!$D$8,2)</f>
        <v>0.48</v>
      </c>
      <c r="I195" s="25" t="s">
        <v>312</v>
      </c>
    </row>
    <row r="196" spans="1:9" x14ac:dyDescent="0.15">
      <c r="A196" s="25">
        <v>195</v>
      </c>
      <c r="B196" s="25" t="s">
        <v>52</v>
      </c>
      <c r="C196" s="25" t="s">
        <v>52</v>
      </c>
      <c r="D196" s="25" t="s">
        <v>320</v>
      </c>
      <c r="E196" s="26">
        <v>0.4</v>
      </c>
      <c r="F196" s="26">
        <v>0.5</v>
      </c>
      <c r="G196" s="26">
        <f>ROUND(E196*見積!$D$8,2)</f>
        <v>0.48</v>
      </c>
      <c r="H196" s="26">
        <f>ROUND(F196*見積!$D$8,2)</f>
        <v>0.6</v>
      </c>
      <c r="I196" s="25" t="s">
        <v>312</v>
      </c>
    </row>
    <row r="197" spans="1:9" x14ac:dyDescent="0.15">
      <c r="A197" s="25">
        <v>196</v>
      </c>
      <c r="B197" s="25" t="s">
        <v>52</v>
      </c>
      <c r="C197" s="25" t="s">
        <v>52</v>
      </c>
      <c r="D197" s="25" t="s">
        <v>321</v>
      </c>
      <c r="E197" s="26">
        <v>0.4</v>
      </c>
      <c r="F197" s="26">
        <v>0.5</v>
      </c>
      <c r="G197" s="26">
        <f>ROUND(E197*見積!$D$8,2)</f>
        <v>0.48</v>
      </c>
      <c r="H197" s="26">
        <f>ROUND(F197*見積!$D$8,2)</f>
        <v>0.6</v>
      </c>
      <c r="I197" s="25" t="s">
        <v>312</v>
      </c>
    </row>
    <row r="198" spans="1:9" ht="27" x14ac:dyDescent="0.15">
      <c r="A198" s="25">
        <v>197</v>
      </c>
      <c r="B198" s="25" t="s">
        <v>53</v>
      </c>
      <c r="C198" s="25" t="s">
        <v>53</v>
      </c>
      <c r="D198" s="25" t="s">
        <v>322</v>
      </c>
      <c r="E198" s="26">
        <v>1.2</v>
      </c>
      <c r="F198" s="26">
        <v>1.5</v>
      </c>
      <c r="G198" s="26">
        <f>ROUND(E198*見積!$D$8,2)</f>
        <v>1.44</v>
      </c>
      <c r="H198" s="26">
        <f>ROUND(F198*見積!$D$8,2)</f>
        <v>1.8</v>
      </c>
      <c r="I198" s="25" t="s">
        <v>107</v>
      </c>
    </row>
    <row r="199" spans="1:9" ht="27" x14ac:dyDescent="0.15">
      <c r="A199" s="25">
        <v>198</v>
      </c>
      <c r="B199" s="25" t="s">
        <v>53</v>
      </c>
      <c r="C199" s="25" t="s">
        <v>53</v>
      </c>
      <c r="D199" s="25" t="s">
        <v>323</v>
      </c>
      <c r="E199" s="26">
        <v>1.1000000000000001</v>
      </c>
      <c r="F199" s="26">
        <v>1.3</v>
      </c>
      <c r="G199" s="26">
        <f>ROUND(E199*見積!$D$8,2)</f>
        <v>1.32</v>
      </c>
      <c r="H199" s="26">
        <f>ROUND(F199*見積!$D$8,2)</f>
        <v>1.56</v>
      </c>
      <c r="I199" s="25" t="s">
        <v>107</v>
      </c>
    </row>
    <row r="200" spans="1:9" ht="27" x14ac:dyDescent="0.15">
      <c r="A200" s="25">
        <v>199</v>
      </c>
      <c r="B200" s="25" t="s">
        <v>53</v>
      </c>
      <c r="C200" s="25" t="s">
        <v>53</v>
      </c>
      <c r="D200" s="25" t="s">
        <v>324</v>
      </c>
      <c r="E200" s="26">
        <v>0.9</v>
      </c>
      <c r="F200" s="26">
        <v>1.1000000000000001</v>
      </c>
      <c r="G200" s="26">
        <f>ROUND(E200*見積!$D$8,2)</f>
        <v>1.08</v>
      </c>
      <c r="H200" s="26">
        <f>ROUND(F200*見積!$D$8,2)</f>
        <v>1.32</v>
      </c>
      <c r="I200" s="25" t="s">
        <v>107</v>
      </c>
    </row>
    <row r="201" spans="1:9" x14ac:dyDescent="0.15">
      <c r="A201" s="25">
        <v>200</v>
      </c>
      <c r="B201" s="25" t="s">
        <v>53</v>
      </c>
      <c r="C201" s="25" t="s">
        <v>53</v>
      </c>
      <c r="D201" s="25" t="s">
        <v>325</v>
      </c>
      <c r="E201" s="26">
        <v>0.5</v>
      </c>
      <c r="F201" s="26">
        <v>0.6</v>
      </c>
      <c r="G201" s="26">
        <f>ROUND(E201*見積!$D$8,2)</f>
        <v>0.6</v>
      </c>
      <c r="H201" s="26">
        <f>ROUND(F201*見積!$D$8,2)</f>
        <v>0.72</v>
      </c>
      <c r="I201" s="25" t="s">
        <v>79</v>
      </c>
    </row>
    <row r="202" spans="1:9" ht="27" x14ac:dyDescent="0.15">
      <c r="A202" s="25">
        <v>201</v>
      </c>
      <c r="B202" s="25" t="s">
        <v>53</v>
      </c>
      <c r="C202" s="25" t="s">
        <v>53</v>
      </c>
      <c r="D202" s="25" t="s">
        <v>326</v>
      </c>
      <c r="E202" s="26">
        <v>0.9</v>
      </c>
      <c r="F202" s="26">
        <v>1.1000000000000001</v>
      </c>
      <c r="G202" s="26">
        <f>ROUND(E202*見積!$D$8,2)</f>
        <v>1.08</v>
      </c>
      <c r="H202" s="26">
        <f>ROUND(F202*見積!$D$8,2)</f>
        <v>1.32</v>
      </c>
      <c r="I202" s="25" t="s">
        <v>107</v>
      </c>
    </row>
    <row r="203" spans="1:9" ht="27" x14ac:dyDescent="0.15">
      <c r="A203" s="25">
        <v>202</v>
      </c>
      <c r="B203" s="25" t="s">
        <v>53</v>
      </c>
      <c r="C203" s="25" t="s">
        <v>53</v>
      </c>
      <c r="D203" s="25" t="s">
        <v>327</v>
      </c>
      <c r="E203" s="26">
        <v>0.8</v>
      </c>
      <c r="F203" s="26">
        <v>1</v>
      </c>
      <c r="G203" s="26">
        <f>ROUND(E203*見積!$D$8,2)</f>
        <v>0.96</v>
      </c>
      <c r="H203" s="26">
        <f>ROUND(F203*見積!$D$8,2)</f>
        <v>1.2</v>
      </c>
      <c r="I203" s="25" t="s">
        <v>107</v>
      </c>
    </row>
    <row r="204" spans="1:9" ht="27" x14ac:dyDescent="0.15">
      <c r="A204" s="25">
        <v>203</v>
      </c>
      <c r="B204" s="25" t="s">
        <v>53</v>
      </c>
      <c r="C204" s="25" t="s">
        <v>53</v>
      </c>
      <c r="D204" s="25" t="s">
        <v>328</v>
      </c>
      <c r="E204" s="26">
        <v>0.8</v>
      </c>
      <c r="F204" s="26">
        <v>1</v>
      </c>
      <c r="G204" s="26">
        <f>ROUND(E204*見積!$D$8,2)</f>
        <v>0.96</v>
      </c>
      <c r="H204" s="26">
        <f>ROUND(F204*見積!$D$8,2)</f>
        <v>1.2</v>
      </c>
      <c r="I204" s="25" t="s">
        <v>107</v>
      </c>
    </row>
    <row r="205" spans="1:9" x14ac:dyDescent="0.15">
      <c r="A205" s="25">
        <v>204</v>
      </c>
      <c r="B205" s="25" t="s">
        <v>53</v>
      </c>
      <c r="C205" s="25" t="s">
        <v>53</v>
      </c>
      <c r="D205" s="25" t="s">
        <v>329</v>
      </c>
      <c r="E205" s="26">
        <v>0.4</v>
      </c>
      <c r="F205" s="26">
        <v>0.4</v>
      </c>
      <c r="G205" s="26">
        <f>ROUND(E205*見積!$D$8,2)</f>
        <v>0.48</v>
      </c>
      <c r="H205" s="26">
        <f>ROUND(F205*見積!$D$8,2)</f>
        <v>0.48</v>
      </c>
      <c r="I205" s="25" t="s">
        <v>177</v>
      </c>
    </row>
    <row r="206" spans="1:9" x14ac:dyDescent="0.15">
      <c r="A206" s="25">
        <v>205</v>
      </c>
      <c r="B206" s="25" t="s">
        <v>53</v>
      </c>
      <c r="C206" s="25" t="s">
        <v>53</v>
      </c>
      <c r="D206" s="25" t="s">
        <v>330</v>
      </c>
      <c r="E206" s="26">
        <v>0.4</v>
      </c>
      <c r="F206" s="26">
        <v>0.5</v>
      </c>
      <c r="G206" s="26">
        <f>ROUND(E206*見積!$D$8,2)</f>
        <v>0.48</v>
      </c>
      <c r="H206" s="26">
        <f>ROUND(F206*見積!$D$8,2)</f>
        <v>0.6</v>
      </c>
      <c r="I206" s="25" t="s">
        <v>79</v>
      </c>
    </row>
    <row r="207" spans="1:9" x14ac:dyDescent="0.15">
      <c r="A207" s="25">
        <v>206</v>
      </c>
      <c r="B207" s="25" t="s">
        <v>53</v>
      </c>
      <c r="C207" s="25" t="s">
        <v>53</v>
      </c>
      <c r="D207" s="25" t="s">
        <v>331</v>
      </c>
      <c r="E207" s="26">
        <v>0.4</v>
      </c>
      <c r="F207" s="26">
        <v>0.4</v>
      </c>
      <c r="G207" s="26">
        <f>ROUND(E207*見積!$D$8,2)</f>
        <v>0.48</v>
      </c>
      <c r="H207" s="26">
        <f>ROUND(F207*見積!$D$8,2)</f>
        <v>0.48</v>
      </c>
      <c r="I207" s="25" t="s">
        <v>79</v>
      </c>
    </row>
    <row r="208" spans="1:9" x14ac:dyDescent="0.15">
      <c r="A208" s="25">
        <v>207</v>
      </c>
      <c r="B208" s="25" t="s">
        <v>53</v>
      </c>
      <c r="C208" s="25" t="s">
        <v>53</v>
      </c>
      <c r="D208" s="25" t="s">
        <v>332</v>
      </c>
      <c r="E208" s="26">
        <v>0.4</v>
      </c>
      <c r="F208" s="26">
        <v>0.4</v>
      </c>
      <c r="G208" s="26">
        <f>ROUND(E208*見積!$D$8,2)</f>
        <v>0.48</v>
      </c>
      <c r="H208" s="26">
        <f>ROUND(F208*見積!$D$8,2)</f>
        <v>0.48</v>
      </c>
      <c r="I208" s="25" t="s">
        <v>79</v>
      </c>
    </row>
    <row r="209" spans="1:9" x14ac:dyDescent="0.15">
      <c r="A209" s="25">
        <v>208</v>
      </c>
      <c r="B209" s="25" t="s">
        <v>53</v>
      </c>
      <c r="C209" s="25" t="s">
        <v>53</v>
      </c>
      <c r="D209" s="25" t="s">
        <v>333</v>
      </c>
      <c r="E209" s="26">
        <v>0.4</v>
      </c>
      <c r="F209" s="26">
        <v>0.4</v>
      </c>
      <c r="G209" s="26">
        <f>ROUND(E209*見積!$D$8,2)</f>
        <v>0.48</v>
      </c>
      <c r="H209" s="26">
        <f>ROUND(F209*見積!$D$8,2)</f>
        <v>0.48</v>
      </c>
      <c r="I209" s="25" t="s">
        <v>79</v>
      </c>
    </row>
    <row r="210" spans="1:9" x14ac:dyDescent="0.15">
      <c r="A210" s="25">
        <v>209</v>
      </c>
      <c r="B210" s="25" t="s">
        <v>54</v>
      </c>
      <c r="C210" s="25" t="s">
        <v>54</v>
      </c>
      <c r="D210" s="25" t="s">
        <v>334</v>
      </c>
      <c r="E210" s="26">
        <v>0.4</v>
      </c>
      <c r="F210" s="26">
        <v>0.5</v>
      </c>
      <c r="G210" s="26">
        <f>ROUND(E210*見積!$D$8,2)</f>
        <v>0.48</v>
      </c>
      <c r="H210" s="26">
        <f>ROUND(F210*見積!$D$8,2)</f>
        <v>0.6</v>
      </c>
      <c r="I210" s="25" t="s">
        <v>335</v>
      </c>
    </row>
    <row r="211" spans="1:9" x14ac:dyDescent="0.15">
      <c r="A211" s="25">
        <v>210</v>
      </c>
      <c r="B211" s="25" t="s">
        <v>54</v>
      </c>
      <c r="C211" s="25" t="s">
        <v>54</v>
      </c>
      <c r="D211" s="25" t="s">
        <v>336</v>
      </c>
      <c r="E211" s="26">
        <v>0.4</v>
      </c>
      <c r="F211" s="26">
        <v>0.5</v>
      </c>
      <c r="G211" s="26">
        <f>ROUND(E211*見積!$D$8,2)</f>
        <v>0.48</v>
      </c>
      <c r="H211" s="26">
        <f>ROUND(F211*見積!$D$8,2)</f>
        <v>0.6</v>
      </c>
      <c r="I211" s="25" t="s">
        <v>335</v>
      </c>
    </row>
    <row r="212" spans="1:9" x14ac:dyDescent="0.15">
      <c r="A212" s="25">
        <v>211</v>
      </c>
      <c r="B212" s="25" t="s">
        <v>54</v>
      </c>
      <c r="C212" s="25" t="s">
        <v>54</v>
      </c>
      <c r="D212" s="25" t="s">
        <v>337</v>
      </c>
      <c r="E212" s="26">
        <v>0.5</v>
      </c>
      <c r="F212" s="26">
        <v>0.5</v>
      </c>
      <c r="G212" s="26">
        <f>ROUND(E212*見積!$D$8,2)</f>
        <v>0.6</v>
      </c>
      <c r="H212" s="26">
        <f>ROUND(F212*見積!$D$8,2)</f>
        <v>0.6</v>
      </c>
      <c r="I212" s="25" t="s">
        <v>335</v>
      </c>
    </row>
    <row r="213" spans="1:9" x14ac:dyDescent="0.15">
      <c r="A213" s="25">
        <v>212</v>
      </c>
      <c r="B213" s="25" t="s">
        <v>54</v>
      </c>
      <c r="C213" s="25" t="s">
        <v>54</v>
      </c>
      <c r="D213" s="25" t="s">
        <v>338</v>
      </c>
      <c r="E213" s="26">
        <v>0.5</v>
      </c>
      <c r="F213" s="26">
        <v>0.5</v>
      </c>
      <c r="G213" s="26">
        <f>ROUND(E213*見積!$D$8,2)</f>
        <v>0.6</v>
      </c>
      <c r="H213" s="26">
        <f>ROUND(F213*見積!$D$8,2)</f>
        <v>0.6</v>
      </c>
      <c r="I213" s="25" t="s">
        <v>335</v>
      </c>
    </row>
    <row r="214" spans="1:9" x14ac:dyDescent="0.15">
      <c r="A214" s="25">
        <v>213</v>
      </c>
      <c r="B214" s="25" t="s">
        <v>54</v>
      </c>
      <c r="C214" s="25" t="s">
        <v>54</v>
      </c>
      <c r="D214" s="25" t="s">
        <v>339</v>
      </c>
      <c r="E214" s="26">
        <v>0.4</v>
      </c>
      <c r="F214" s="26">
        <v>0.5</v>
      </c>
      <c r="G214" s="26">
        <f>ROUND(E214*見積!$D$8,2)</f>
        <v>0.48</v>
      </c>
      <c r="H214" s="26">
        <f>ROUND(F214*見積!$D$8,2)</f>
        <v>0.6</v>
      </c>
      <c r="I214" s="25" t="s">
        <v>335</v>
      </c>
    </row>
    <row r="215" spans="1:9" x14ac:dyDescent="0.15">
      <c r="A215" s="25">
        <v>214</v>
      </c>
      <c r="B215" s="25" t="s">
        <v>54</v>
      </c>
      <c r="C215" s="25" t="s">
        <v>54</v>
      </c>
      <c r="D215" s="25" t="s">
        <v>340</v>
      </c>
      <c r="E215" s="26">
        <v>0.5</v>
      </c>
      <c r="F215" s="26">
        <v>0.5</v>
      </c>
      <c r="G215" s="26">
        <f>ROUND(E215*見積!$D$8,2)</f>
        <v>0.6</v>
      </c>
      <c r="H215" s="26">
        <f>ROUND(F215*見積!$D$8,2)</f>
        <v>0.6</v>
      </c>
      <c r="I215" s="25" t="s">
        <v>335</v>
      </c>
    </row>
    <row r="216" spans="1:9" x14ac:dyDescent="0.15">
      <c r="A216" s="25">
        <v>215</v>
      </c>
      <c r="B216" s="25" t="s">
        <v>54</v>
      </c>
      <c r="C216" s="25" t="s">
        <v>54</v>
      </c>
      <c r="D216" s="25" t="s">
        <v>341</v>
      </c>
      <c r="E216" s="26">
        <v>0.3</v>
      </c>
      <c r="F216" s="26">
        <v>0.3</v>
      </c>
      <c r="G216" s="26">
        <f>ROUND(E216*見積!$D$8,2)</f>
        <v>0.36</v>
      </c>
      <c r="H216" s="26">
        <f>ROUND(F216*見積!$D$8,2)</f>
        <v>0.36</v>
      </c>
      <c r="I216" s="25" t="s">
        <v>335</v>
      </c>
    </row>
    <row r="217" spans="1:9" x14ac:dyDescent="0.15">
      <c r="A217" s="25">
        <v>216</v>
      </c>
      <c r="B217" s="25" t="s">
        <v>54</v>
      </c>
      <c r="C217" s="25" t="s">
        <v>54</v>
      </c>
      <c r="D217" s="25" t="s">
        <v>342</v>
      </c>
      <c r="E217" s="26">
        <v>0.5</v>
      </c>
      <c r="F217" s="26">
        <v>0.5</v>
      </c>
      <c r="G217" s="26">
        <f>ROUND(E217*見積!$D$8,2)</f>
        <v>0.6</v>
      </c>
      <c r="H217" s="26">
        <f>ROUND(F217*見積!$D$8,2)</f>
        <v>0.6</v>
      </c>
      <c r="I217" s="25" t="s">
        <v>335</v>
      </c>
    </row>
    <row r="218" spans="1:9" x14ac:dyDescent="0.15">
      <c r="A218" s="25">
        <v>217</v>
      </c>
      <c r="B218" s="25" t="s">
        <v>55</v>
      </c>
      <c r="C218" s="25" t="s">
        <v>55</v>
      </c>
      <c r="D218" s="25" t="s">
        <v>343</v>
      </c>
      <c r="E218" s="26">
        <v>0.7</v>
      </c>
      <c r="F218" s="26">
        <v>0.8</v>
      </c>
      <c r="G218" s="26">
        <f>ROUND(E218*見積!$D$8,2)</f>
        <v>0.84</v>
      </c>
      <c r="H218" s="26">
        <f>ROUND(F218*見積!$D$8,2)</f>
        <v>0.96</v>
      </c>
      <c r="I218" s="25" t="s">
        <v>344</v>
      </c>
    </row>
    <row r="219" spans="1:9" x14ac:dyDescent="0.15">
      <c r="A219" s="25">
        <v>218</v>
      </c>
      <c r="B219" s="25" t="s">
        <v>55</v>
      </c>
      <c r="C219" s="25" t="s">
        <v>55</v>
      </c>
      <c r="D219" s="25" t="s">
        <v>345</v>
      </c>
      <c r="E219" s="26">
        <v>0.4</v>
      </c>
      <c r="F219" s="26">
        <v>0.5</v>
      </c>
      <c r="G219" s="26">
        <f>ROUND(E219*見積!$D$8,2)</f>
        <v>0.48</v>
      </c>
      <c r="H219" s="26">
        <f>ROUND(F219*見積!$D$8,2)</f>
        <v>0.6</v>
      </c>
      <c r="I219" s="25" t="s">
        <v>344</v>
      </c>
    </row>
    <row r="220" spans="1:9" x14ac:dyDescent="0.15">
      <c r="A220" s="25">
        <v>219</v>
      </c>
      <c r="B220" s="25" t="s">
        <v>55</v>
      </c>
      <c r="C220" s="25" t="s">
        <v>55</v>
      </c>
      <c r="D220" s="25" t="s">
        <v>346</v>
      </c>
      <c r="E220" s="26">
        <v>0.5</v>
      </c>
      <c r="F220" s="26">
        <v>0.6</v>
      </c>
      <c r="G220" s="26">
        <f>ROUND(E220*見積!$D$8,2)</f>
        <v>0.6</v>
      </c>
      <c r="H220" s="26">
        <f>ROUND(F220*見積!$D$8,2)</f>
        <v>0.72</v>
      </c>
      <c r="I220" s="25" t="s">
        <v>344</v>
      </c>
    </row>
    <row r="221" spans="1:9" x14ac:dyDescent="0.15">
      <c r="A221" s="25">
        <v>220</v>
      </c>
      <c r="B221" s="25" t="s">
        <v>55</v>
      </c>
      <c r="C221" s="25" t="s">
        <v>55</v>
      </c>
      <c r="D221" s="25" t="s">
        <v>347</v>
      </c>
      <c r="E221" s="26">
        <v>0.7</v>
      </c>
      <c r="F221" s="26">
        <v>0.8</v>
      </c>
      <c r="G221" s="26">
        <f>ROUND(E221*見積!$D$8,2)</f>
        <v>0.84</v>
      </c>
      <c r="H221" s="26">
        <f>ROUND(F221*見積!$D$8,2)</f>
        <v>0.96</v>
      </c>
      <c r="I221" s="25" t="s">
        <v>344</v>
      </c>
    </row>
    <row r="222" spans="1:9" x14ac:dyDescent="0.15">
      <c r="A222" s="25">
        <v>221</v>
      </c>
      <c r="B222" s="25" t="s">
        <v>55</v>
      </c>
      <c r="C222" s="25" t="s">
        <v>55</v>
      </c>
      <c r="D222" s="25" t="s">
        <v>348</v>
      </c>
      <c r="E222" s="26">
        <v>0.8</v>
      </c>
      <c r="F222" s="26">
        <v>1</v>
      </c>
      <c r="G222" s="26">
        <f>ROUND(E222*見積!$D$8,2)</f>
        <v>0.96</v>
      </c>
      <c r="H222" s="26">
        <f>ROUND(F222*見積!$D$8,2)</f>
        <v>1.2</v>
      </c>
      <c r="I222" s="25" t="s">
        <v>344</v>
      </c>
    </row>
    <row r="223" spans="1:9" x14ac:dyDescent="0.15">
      <c r="A223" s="25">
        <v>222</v>
      </c>
      <c r="B223" s="25" t="s">
        <v>55</v>
      </c>
      <c r="C223" s="25" t="s">
        <v>55</v>
      </c>
      <c r="D223" s="25" t="s">
        <v>349</v>
      </c>
      <c r="E223" s="26">
        <v>0.4</v>
      </c>
      <c r="F223" s="26">
        <v>0.5</v>
      </c>
      <c r="G223" s="26">
        <f>ROUND(E223*見積!$D$8,2)</f>
        <v>0.48</v>
      </c>
      <c r="H223" s="26">
        <f>ROUND(F223*見積!$D$8,2)</f>
        <v>0.6</v>
      </c>
      <c r="I223" s="25" t="s">
        <v>344</v>
      </c>
    </row>
    <row r="224" spans="1:9" x14ac:dyDescent="0.15">
      <c r="A224" s="25">
        <v>223</v>
      </c>
      <c r="B224" s="25" t="s">
        <v>55</v>
      </c>
      <c r="C224" s="25" t="s">
        <v>55</v>
      </c>
      <c r="D224" s="25" t="s">
        <v>350</v>
      </c>
      <c r="E224" s="26">
        <v>0.5</v>
      </c>
      <c r="F224" s="26">
        <v>0.6</v>
      </c>
      <c r="G224" s="26">
        <f>ROUND(E224*見積!$D$8,2)</f>
        <v>0.6</v>
      </c>
      <c r="H224" s="26">
        <f>ROUND(F224*見積!$D$8,2)</f>
        <v>0.72</v>
      </c>
      <c r="I224" s="25" t="s">
        <v>344</v>
      </c>
    </row>
    <row r="225" spans="1:9" x14ac:dyDescent="0.15">
      <c r="A225" s="25">
        <v>224</v>
      </c>
      <c r="B225" s="25" t="s">
        <v>55</v>
      </c>
      <c r="C225" s="25" t="s">
        <v>55</v>
      </c>
      <c r="D225" s="25" t="s">
        <v>351</v>
      </c>
      <c r="E225" s="26">
        <v>0.3</v>
      </c>
      <c r="F225" s="26">
        <v>0.3</v>
      </c>
      <c r="G225" s="26">
        <f>ROUND(E225*見積!$D$8,2)</f>
        <v>0.36</v>
      </c>
      <c r="H225" s="26">
        <f>ROUND(F225*見積!$D$8,2)</f>
        <v>0.36</v>
      </c>
      <c r="I225" s="25" t="s">
        <v>344</v>
      </c>
    </row>
    <row r="226" spans="1:9" ht="27" x14ac:dyDescent="0.15">
      <c r="A226" s="25">
        <v>225</v>
      </c>
      <c r="B226" s="25" t="s">
        <v>55</v>
      </c>
      <c r="C226" s="25" t="s">
        <v>55</v>
      </c>
      <c r="D226" s="25" t="s">
        <v>352</v>
      </c>
      <c r="E226" s="26">
        <v>0.7</v>
      </c>
      <c r="F226" s="26">
        <v>0.9</v>
      </c>
      <c r="G226" s="26">
        <f>ROUND(E226*見積!$D$8,2)</f>
        <v>0.84</v>
      </c>
      <c r="H226" s="26">
        <f>ROUND(F226*見積!$D$8,2)</f>
        <v>1.08</v>
      </c>
      <c r="I226" s="25" t="s">
        <v>107</v>
      </c>
    </row>
    <row r="227" spans="1:9" x14ac:dyDescent="0.15">
      <c r="A227" s="25">
        <v>226</v>
      </c>
      <c r="B227" s="25" t="s">
        <v>55</v>
      </c>
      <c r="C227" s="25" t="s">
        <v>55</v>
      </c>
      <c r="D227" s="25" t="s">
        <v>353</v>
      </c>
      <c r="E227" s="26">
        <v>0.3</v>
      </c>
      <c r="F227" s="26">
        <v>0.4</v>
      </c>
      <c r="G227" s="26">
        <f>ROUND(E227*見積!$D$8,2)</f>
        <v>0.36</v>
      </c>
      <c r="H227" s="26">
        <f>ROUND(F227*見積!$D$8,2)</f>
        <v>0.48</v>
      </c>
      <c r="I227" s="25" t="s">
        <v>344</v>
      </c>
    </row>
    <row r="228" spans="1:9" x14ac:dyDescent="0.15">
      <c r="A228" s="25">
        <v>227</v>
      </c>
      <c r="B228" s="25" t="s">
        <v>55</v>
      </c>
      <c r="C228" s="25" t="s">
        <v>55</v>
      </c>
      <c r="D228" s="25" t="s">
        <v>354</v>
      </c>
      <c r="E228" s="26">
        <v>0.4</v>
      </c>
      <c r="F228" s="26">
        <v>0.5</v>
      </c>
      <c r="G228" s="26">
        <f>ROUND(E228*見積!$D$8,2)</f>
        <v>0.48</v>
      </c>
      <c r="H228" s="26">
        <f>ROUND(F228*見積!$D$8,2)</f>
        <v>0.6</v>
      </c>
      <c r="I228" s="25" t="s">
        <v>344</v>
      </c>
    </row>
    <row r="229" spans="1:9" x14ac:dyDescent="0.15">
      <c r="A229" s="25">
        <v>228</v>
      </c>
      <c r="B229" s="25" t="s">
        <v>55</v>
      </c>
      <c r="C229" s="25" t="s">
        <v>55</v>
      </c>
      <c r="D229" s="25" t="s">
        <v>355</v>
      </c>
      <c r="E229" s="26">
        <v>0.4</v>
      </c>
      <c r="F229" s="26">
        <v>0.5</v>
      </c>
      <c r="G229" s="26">
        <f>ROUND(E229*見積!$D$8,2)</f>
        <v>0.48</v>
      </c>
      <c r="H229" s="26">
        <f>ROUND(F229*見積!$D$8,2)</f>
        <v>0.6</v>
      </c>
      <c r="I229" s="25" t="s">
        <v>344</v>
      </c>
    </row>
    <row r="230" spans="1:9" x14ac:dyDescent="0.15">
      <c r="A230" s="25">
        <v>229</v>
      </c>
      <c r="B230" s="25" t="s">
        <v>55</v>
      </c>
      <c r="C230" s="25" t="s">
        <v>55</v>
      </c>
      <c r="D230" s="25" t="s">
        <v>356</v>
      </c>
      <c r="E230" s="26">
        <v>0.5</v>
      </c>
      <c r="F230" s="26">
        <v>0.6</v>
      </c>
      <c r="G230" s="26">
        <f>ROUND(E230*見積!$D$8,2)</f>
        <v>0.6</v>
      </c>
      <c r="H230" s="26">
        <f>ROUND(F230*見積!$D$8,2)</f>
        <v>0.72</v>
      </c>
      <c r="I230" s="25" t="s">
        <v>344</v>
      </c>
    </row>
    <row r="231" spans="1:9" x14ac:dyDescent="0.15">
      <c r="A231" s="25">
        <v>230</v>
      </c>
      <c r="B231" s="25" t="s">
        <v>55</v>
      </c>
      <c r="C231" s="25" t="s">
        <v>55</v>
      </c>
      <c r="D231" s="25" t="s">
        <v>357</v>
      </c>
      <c r="E231" s="26">
        <v>0.5</v>
      </c>
      <c r="F231" s="26">
        <v>0.6</v>
      </c>
      <c r="G231" s="26">
        <f>ROUND(E231*見積!$D$8,2)</f>
        <v>0.6</v>
      </c>
      <c r="H231" s="26">
        <f>ROUND(F231*見積!$D$8,2)</f>
        <v>0.72</v>
      </c>
      <c r="I231" s="25" t="s">
        <v>344</v>
      </c>
    </row>
    <row r="232" spans="1:9" x14ac:dyDescent="0.15">
      <c r="A232" s="25">
        <v>231</v>
      </c>
      <c r="B232" s="25" t="s">
        <v>55</v>
      </c>
      <c r="C232" s="25" t="s">
        <v>55</v>
      </c>
      <c r="D232" s="25" t="s">
        <v>358</v>
      </c>
      <c r="E232" s="26">
        <v>0.4</v>
      </c>
      <c r="F232" s="26">
        <v>0.5</v>
      </c>
      <c r="G232" s="26">
        <f>ROUND(E232*見積!$D$8,2)</f>
        <v>0.48</v>
      </c>
      <c r="H232" s="26">
        <f>ROUND(F232*見積!$D$8,2)</f>
        <v>0.6</v>
      </c>
      <c r="I232" s="25" t="s">
        <v>344</v>
      </c>
    </row>
    <row r="233" spans="1:9" x14ac:dyDescent="0.15">
      <c r="A233" s="25">
        <v>232</v>
      </c>
      <c r="B233" s="25" t="s">
        <v>55</v>
      </c>
      <c r="C233" s="25" t="s">
        <v>55</v>
      </c>
      <c r="D233" s="25" t="s">
        <v>359</v>
      </c>
      <c r="E233" s="26">
        <v>0.3</v>
      </c>
      <c r="F233" s="26">
        <v>0.4</v>
      </c>
      <c r="G233" s="26">
        <f>ROUND(E233*見積!$D$8,2)</f>
        <v>0.36</v>
      </c>
      <c r="H233" s="26">
        <f>ROUND(F233*見積!$D$8,2)</f>
        <v>0.48</v>
      </c>
      <c r="I233" s="25" t="s">
        <v>344</v>
      </c>
    </row>
    <row r="234" spans="1:9" x14ac:dyDescent="0.15">
      <c r="A234" s="25">
        <v>233</v>
      </c>
      <c r="B234" s="25" t="s">
        <v>55</v>
      </c>
      <c r="C234" s="25" t="s">
        <v>55</v>
      </c>
      <c r="D234" s="25" t="s">
        <v>360</v>
      </c>
      <c r="E234" s="26">
        <v>0.3</v>
      </c>
      <c r="F234" s="26">
        <v>0.4</v>
      </c>
      <c r="G234" s="26">
        <f>ROUND(E234*見積!$D$8,2)</f>
        <v>0.36</v>
      </c>
      <c r="H234" s="26">
        <f>ROUND(F234*見積!$D$8,2)</f>
        <v>0.48</v>
      </c>
      <c r="I234" s="25" t="s">
        <v>344</v>
      </c>
    </row>
    <row r="235" spans="1:9" x14ac:dyDescent="0.15">
      <c r="A235" s="25">
        <v>234</v>
      </c>
      <c r="B235" s="25" t="s">
        <v>56</v>
      </c>
      <c r="C235" s="25" t="s">
        <v>56</v>
      </c>
      <c r="D235" s="25" t="s">
        <v>361</v>
      </c>
      <c r="E235" s="26">
        <v>0.6</v>
      </c>
      <c r="F235" s="26">
        <v>0.7</v>
      </c>
      <c r="G235" s="26">
        <f>ROUND(E235*見積!$D$8,2)</f>
        <v>0.72</v>
      </c>
      <c r="H235" s="26">
        <f>ROUND(F235*見積!$D$8,2)</f>
        <v>0.84</v>
      </c>
      <c r="I235" s="25" t="s">
        <v>79</v>
      </c>
    </row>
    <row r="236" spans="1:9" x14ac:dyDescent="0.15">
      <c r="A236" s="25">
        <v>235</v>
      </c>
      <c r="B236" s="25" t="s">
        <v>56</v>
      </c>
      <c r="C236" s="25" t="s">
        <v>56</v>
      </c>
      <c r="D236" s="25" t="s">
        <v>362</v>
      </c>
      <c r="E236" s="26">
        <v>0.5</v>
      </c>
      <c r="F236" s="26">
        <v>0.6</v>
      </c>
      <c r="G236" s="26">
        <f>ROUND(E236*見積!$D$8,2)</f>
        <v>0.6</v>
      </c>
      <c r="H236" s="26">
        <f>ROUND(F236*見積!$D$8,2)</f>
        <v>0.72</v>
      </c>
      <c r="I236" s="25" t="s">
        <v>79</v>
      </c>
    </row>
    <row r="237" spans="1:9" ht="27" x14ac:dyDescent="0.15">
      <c r="A237" s="25">
        <v>236</v>
      </c>
      <c r="B237" s="25" t="s">
        <v>56</v>
      </c>
      <c r="C237" s="25" t="s">
        <v>56</v>
      </c>
      <c r="D237" s="25" t="s">
        <v>363</v>
      </c>
      <c r="E237" s="26">
        <v>0.3</v>
      </c>
      <c r="F237" s="26">
        <v>0.4</v>
      </c>
      <c r="G237" s="26">
        <f>ROUND(E237*見積!$D$8,2)</f>
        <v>0.36</v>
      </c>
      <c r="H237" s="26">
        <f>ROUND(F237*見積!$D$8,2)</f>
        <v>0.48</v>
      </c>
      <c r="I237" s="25" t="s">
        <v>364</v>
      </c>
    </row>
    <row r="238" spans="1:9" ht="27" x14ac:dyDescent="0.15">
      <c r="A238" s="25">
        <v>237</v>
      </c>
      <c r="B238" s="25" t="s">
        <v>56</v>
      </c>
      <c r="C238" s="25" t="s">
        <v>56</v>
      </c>
      <c r="D238" s="25" t="s">
        <v>365</v>
      </c>
      <c r="E238" s="26">
        <v>0.2</v>
      </c>
      <c r="F238" s="26">
        <v>0.2</v>
      </c>
      <c r="G238" s="26">
        <f>ROUND(E238*見積!$D$8,2)</f>
        <v>0.24</v>
      </c>
      <c r="H238" s="26">
        <f>ROUND(F238*見積!$D$8,2)</f>
        <v>0.24</v>
      </c>
      <c r="I238" s="25" t="s">
        <v>364</v>
      </c>
    </row>
    <row r="239" spans="1:9" ht="27" x14ac:dyDescent="0.15">
      <c r="A239" s="25">
        <v>238</v>
      </c>
      <c r="B239" s="25" t="s">
        <v>56</v>
      </c>
      <c r="C239" s="25" t="s">
        <v>56</v>
      </c>
      <c r="D239" s="25" t="s">
        <v>366</v>
      </c>
      <c r="E239" s="26">
        <v>0.2</v>
      </c>
      <c r="F239" s="26">
        <v>0.2</v>
      </c>
      <c r="G239" s="26">
        <f>ROUND(E239*見積!$D$8,2)</f>
        <v>0.24</v>
      </c>
      <c r="H239" s="26">
        <f>ROUND(F239*見積!$D$8,2)</f>
        <v>0.24</v>
      </c>
      <c r="I239" s="25" t="s">
        <v>364</v>
      </c>
    </row>
    <row r="240" spans="1:9" ht="27" x14ac:dyDescent="0.15">
      <c r="A240" s="25">
        <v>239</v>
      </c>
      <c r="B240" s="25" t="s">
        <v>56</v>
      </c>
      <c r="C240" s="25" t="s">
        <v>56</v>
      </c>
      <c r="D240" s="25" t="s">
        <v>367</v>
      </c>
      <c r="E240" s="26">
        <v>0.8</v>
      </c>
      <c r="F240" s="26">
        <v>1.1000000000000001</v>
      </c>
      <c r="G240" s="26">
        <f>ROUND(E240*見積!$D$8,2)</f>
        <v>0.96</v>
      </c>
      <c r="H240" s="26">
        <f>ROUND(F240*見積!$D$8,2)</f>
        <v>1.32</v>
      </c>
      <c r="I240" s="25" t="s">
        <v>107</v>
      </c>
    </row>
    <row r="241" spans="1:9" ht="27" x14ac:dyDescent="0.15">
      <c r="A241" s="25">
        <v>240</v>
      </c>
      <c r="B241" s="25" t="s">
        <v>56</v>
      </c>
      <c r="C241" s="25" t="s">
        <v>56</v>
      </c>
      <c r="D241" s="25" t="s">
        <v>368</v>
      </c>
      <c r="E241" s="26">
        <v>0.3</v>
      </c>
      <c r="F241" s="26">
        <v>0.4</v>
      </c>
      <c r="G241" s="26">
        <f>ROUND(E241*見積!$D$8,2)</f>
        <v>0.36</v>
      </c>
      <c r="H241" s="26">
        <f>ROUND(F241*見積!$D$8,2)</f>
        <v>0.48</v>
      </c>
      <c r="I241" s="25" t="s">
        <v>364</v>
      </c>
    </row>
    <row r="242" spans="1:9" ht="27" x14ac:dyDescent="0.15">
      <c r="A242" s="25">
        <v>241</v>
      </c>
      <c r="B242" s="25" t="s">
        <v>56</v>
      </c>
      <c r="C242" s="25" t="s">
        <v>56</v>
      </c>
      <c r="D242" s="25" t="s">
        <v>369</v>
      </c>
      <c r="E242" s="26">
        <v>0.3</v>
      </c>
      <c r="F242" s="26">
        <v>0.4</v>
      </c>
      <c r="G242" s="26">
        <f>ROUND(E242*見積!$D$8,2)</f>
        <v>0.36</v>
      </c>
      <c r="H242" s="26">
        <f>ROUND(F242*見積!$D$8,2)</f>
        <v>0.48</v>
      </c>
      <c r="I242" s="25" t="s">
        <v>364</v>
      </c>
    </row>
    <row r="243" spans="1:9" ht="27" x14ac:dyDescent="0.15">
      <c r="A243" s="25">
        <v>242</v>
      </c>
      <c r="B243" s="25" t="s">
        <v>56</v>
      </c>
      <c r="C243" s="25" t="s">
        <v>56</v>
      </c>
      <c r="D243" s="25" t="s">
        <v>370</v>
      </c>
      <c r="E243" s="26">
        <v>0.2</v>
      </c>
      <c r="F243" s="26">
        <v>0.3</v>
      </c>
      <c r="G243" s="26">
        <f>ROUND(E243*見積!$D$8,2)</f>
        <v>0.24</v>
      </c>
      <c r="H243" s="26">
        <f>ROUND(F243*見積!$D$8,2)</f>
        <v>0.36</v>
      </c>
      <c r="I243" s="25" t="s">
        <v>364</v>
      </c>
    </row>
    <row r="244" spans="1:9" ht="27" x14ac:dyDescent="0.15">
      <c r="A244" s="25">
        <v>243</v>
      </c>
      <c r="B244" s="25" t="s">
        <v>56</v>
      </c>
      <c r="C244" s="25" t="s">
        <v>56</v>
      </c>
      <c r="D244" s="25" t="s">
        <v>371</v>
      </c>
      <c r="E244" s="26">
        <v>0.2</v>
      </c>
      <c r="F244" s="26">
        <v>0.3</v>
      </c>
      <c r="G244" s="26">
        <f>ROUND(E244*見積!$D$8,2)</f>
        <v>0.24</v>
      </c>
      <c r="H244" s="26">
        <f>ROUND(F244*見積!$D$8,2)</f>
        <v>0.36</v>
      </c>
      <c r="I244" s="25" t="s">
        <v>364</v>
      </c>
    </row>
    <row r="245" spans="1:9" ht="27" x14ac:dyDescent="0.15">
      <c r="A245" s="25">
        <v>244</v>
      </c>
      <c r="B245" s="25" t="s">
        <v>56</v>
      </c>
      <c r="C245" s="25" t="s">
        <v>56</v>
      </c>
      <c r="D245" s="25" t="s">
        <v>372</v>
      </c>
      <c r="E245" s="26">
        <v>0.2</v>
      </c>
      <c r="F245" s="26">
        <v>0.3</v>
      </c>
      <c r="G245" s="26">
        <f>ROUND(E245*見積!$D$8,2)</f>
        <v>0.24</v>
      </c>
      <c r="H245" s="26">
        <f>ROUND(F245*見積!$D$8,2)</f>
        <v>0.36</v>
      </c>
      <c r="I245" s="25" t="s">
        <v>364</v>
      </c>
    </row>
    <row r="246" spans="1:9" ht="27" x14ac:dyDescent="0.15">
      <c r="A246" s="25">
        <v>245</v>
      </c>
      <c r="B246" s="25" t="s">
        <v>56</v>
      </c>
      <c r="C246" s="25" t="s">
        <v>56</v>
      </c>
      <c r="D246" s="25" t="s">
        <v>373</v>
      </c>
      <c r="E246" s="26">
        <v>0.3</v>
      </c>
      <c r="F246" s="26">
        <v>0.4</v>
      </c>
      <c r="G246" s="26">
        <f>ROUND(E246*見積!$D$8,2)</f>
        <v>0.36</v>
      </c>
      <c r="H246" s="26">
        <f>ROUND(F246*見積!$D$8,2)</f>
        <v>0.48</v>
      </c>
      <c r="I246" s="25" t="s">
        <v>364</v>
      </c>
    </row>
    <row r="247" spans="1:9" ht="27" x14ac:dyDescent="0.15">
      <c r="A247" s="25">
        <v>246</v>
      </c>
      <c r="B247" s="25" t="s">
        <v>56</v>
      </c>
      <c r="C247" s="25" t="s">
        <v>56</v>
      </c>
      <c r="D247" s="25" t="s">
        <v>374</v>
      </c>
      <c r="E247" s="26">
        <v>0.3</v>
      </c>
      <c r="F247" s="26">
        <v>0.4</v>
      </c>
      <c r="G247" s="26">
        <f>ROUND(E247*見積!$D$8,2)</f>
        <v>0.36</v>
      </c>
      <c r="H247" s="26">
        <f>ROUND(F247*見積!$D$8,2)</f>
        <v>0.48</v>
      </c>
      <c r="I247" s="25" t="s">
        <v>364</v>
      </c>
    </row>
    <row r="248" spans="1:9" ht="27" x14ac:dyDescent="0.15">
      <c r="A248" s="25">
        <v>247</v>
      </c>
      <c r="B248" s="25" t="s">
        <v>56</v>
      </c>
      <c r="C248" s="25" t="s">
        <v>56</v>
      </c>
      <c r="D248" s="25" t="s">
        <v>375</v>
      </c>
      <c r="E248" s="26">
        <v>0.3</v>
      </c>
      <c r="F248" s="26">
        <v>0.4</v>
      </c>
      <c r="G248" s="26">
        <f>ROUND(E248*見積!$D$8,2)</f>
        <v>0.36</v>
      </c>
      <c r="H248" s="26">
        <f>ROUND(F248*見積!$D$8,2)</f>
        <v>0.48</v>
      </c>
      <c r="I248" s="25" t="s">
        <v>364</v>
      </c>
    </row>
    <row r="249" spans="1:9" ht="27" x14ac:dyDescent="0.15">
      <c r="A249" s="25">
        <v>248</v>
      </c>
      <c r="B249" s="25" t="s">
        <v>56</v>
      </c>
      <c r="C249" s="25" t="s">
        <v>56</v>
      </c>
      <c r="D249" s="25" t="s">
        <v>376</v>
      </c>
      <c r="E249" s="26">
        <v>0.8</v>
      </c>
      <c r="F249" s="26">
        <v>1</v>
      </c>
      <c r="G249" s="26">
        <f>ROUND(E249*見積!$D$8,2)</f>
        <v>0.96</v>
      </c>
      <c r="H249" s="26">
        <f>ROUND(F249*見積!$D$8,2)</f>
        <v>1.2</v>
      </c>
      <c r="I249" s="25" t="s">
        <v>107</v>
      </c>
    </row>
    <row r="250" spans="1:9" ht="27" x14ac:dyDescent="0.15">
      <c r="A250" s="25">
        <v>249</v>
      </c>
      <c r="B250" s="25" t="s">
        <v>56</v>
      </c>
      <c r="C250" s="25" t="s">
        <v>56</v>
      </c>
      <c r="D250" s="25" t="s">
        <v>377</v>
      </c>
      <c r="E250" s="26">
        <v>0.7</v>
      </c>
      <c r="F250" s="26">
        <v>0.9</v>
      </c>
      <c r="G250" s="26">
        <f>ROUND(E250*見積!$D$8,2)</f>
        <v>0.84</v>
      </c>
      <c r="H250" s="26">
        <f>ROUND(F250*見積!$D$8,2)</f>
        <v>1.08</v>
      </c>
      <c r="I250" s="25" t="s">
        <v>107</v>
      </c>
    </row>
    <row r="251" spans="1:9" x14ac:dyDescent="0.15">
      <c r="A251" s="25">
        <v>250</v>
      </c>
      <c r="B251" s="25" t="s">
        <v>56</v>
      </c>
      <c r="C251" s="25" t="s">
        <v>56</v>
      </c>
      <c r="D251" s="25" t="s">
        <v>378</v>
      </c>
      <c r="E251" s="26">
        <v>0.4</v>
      </c>
      <c r="F251" s="26">
        <v>0.5</v>
      </c>
      <c r="G251" s="26">
        <f>ROUND(E251*見積!$D$8,2)</f>
        <v>0.48</v>
      </c>
      <c r="H251" s="26">
        <f>ROUND(F251*見積!$D$8,2)</f>
        <v>0.6</v>
      </c>
      <c r="I251" s="25" t="s">
        <v>79</v>
      </c>
    </row>
    <row r="252" spans="1:9" x14ac:dyDescent="0.15">
      <c r="A252" s="25">
        <v>251</v>
      </c>
      <c r="B252" s="25" t="s">
        <v>57</v>
      </c>
      <c r="C252" s="25" t="s">
        <v>58</v>
      </c>
      <c r="D252" s="25" t="s">
        <v>379</v>
      </c>
      <c r="E252" s="26">
        <v>1.5</v>
      </c>
      <c r="F252" s="26">
        <v>1.8</v>
      </c>
      <c r="G252" s="26">
        <f>ROUND(E252*見積!$D$8,2)</f>
        <v>1.8</v>
      </c>
      <c r="H252" s="26">
        <f>ROUND(F252*見積!$D$8,2)</f>
        <v>2.16</v>
      </c>
      <c r="I252" s="25" t="s">
        <v>380</v>
      </c>
    </row>
    <row r="253" spans="1:9" x14ac:dyDescent="0.15">
      <c r="A253" s="25">
        <v>252</v>
      </c>
      <c r="B253" s="25" t="s">
        <v>57</v>
      </c>
      <c r="C253" s="25" t="s">
        <v>58</v>
      </c>
      <c r="D253" s="25" t="s">
        <v>381</v>
      </c>
      <c r="E253" s="26">
        <v>4</v>
      </c>
      <c r="F253" s="26">
        <v>4.8</v>
      </c>
      <c r="G253" s="26">
        <f>ROUND(E253*見積!$D$8,2)</f>
        <v>4.8</v>
      </c>
      <c r="H253" s="26">
        <f>ROUND(F253*見積!$D$8,2)</f>
        <v>5.76</v>
      </c>
      <c r="I253" s="25" t="s">
        <v>382</v>
      </c>
    </row>
    <row r="254" spans="1:9" x14ac:dyDescent="0.15">
      <c r="A254" s="25">
        <v>253</v>
      </c>
      <c r="B254" s="25" t="s">
        <v>57</v>
      </c>
      <c r="C254" s="25" t="s">
        <v>58</v>
      </c>
      <c r="D254" s="25" t="s">
        <v>383</v>
      </c>
      <c r="E254" s="26">
        <v>4.8</v>
      </c>
      <c r="F254" s="26">
        <v>5.5</v>
      </c>
      <c r="G254" s="26">
        <f>ROUND(E254*見積!$D$8,2)</f>
        <v>5.76</v>
      </c>
      <c r="H254" s="26">
        <f>ROUND(F254*見積!$D$8,2)</f>
        <v>6.6</v>
      </c>
      <c r="I254" s="25" t="s">
        <v>384</v>
      </c>
    </row>
    <row r="255" spans="1:9" x14ac:dyDescent="0.15">
      <c r="A255" s="25">
        <v>254</v>
      </c>
      <c r="B255" s="25" t="s">
        <v>57</v>
      </c>
      <c r="C255" s="25" t="s">
        <v>58</v>
      </c>
      <c r="D255" s="25" t="s">
        <v>385</v>
      </c>
      <c r="E255" s="26">
        <v>3</v>
      </c>
      <c r="F255" s="26">
        <v>3.6</v>
      </c>
      <c r="G255" s="26">
        <f>ROUND(E255*見積!$D$8,2)</f>
        <v>3.6</v>
      </c>
      <c r="H255" s="26">
        <f>ROUND(F255*見積!$D$8,2)</f>
        <v>4.32</v>
      </c>
      <c r="I255" s="25" t="s">
        <v>386</v>
      </c>
    </row>
    <row r="256" spans="1:9" x14ac:dyDescent="0.15">
      <c r="A256" s="25">
        <v>255</v>
      </c>
      <c r="B256" s="25" t="s">
        <v>57</v>
      </c>
      <c r="C256" s="25" t="s">
        <v>58</v>
      </c>
      <c r="D256" s="25" t="s">
        <v>387</v>
      </c>
      <c r="E256" s="26">
        <v>1.2</v>
      </c>
      <c r="F256" s="26">
        <v>1.6</v>
      </c>
      <c r="G256" s="26">
        <f>ROUND(E256*見積!$D$8,2)</f>
        <v>1.44</v>
      </c>
      <c r="H256" s="26">
        <f>ROUND(F256*見積!$D$8,2)</f>
        <v>1.92</v>
      </c>
      <c r="I256" s="25" t="s">
        <v>388</v>
      </c>
    </row>
    <row r="257" spans="1:9" x14ac:dyDescent="0.15">
      <c r="A257" s="25">
        <v>256</v>
      </c>
      <c r="B257" s="25" t="s">
        <v>57</v>
      </c>
      <c r="C257" s="25" t="s">
        <v>58</v>
      </c>
      <c r="D257" s="25" t="s">
        <v>389</v>
      </c>
      <c r="E257" s="26">
        <v>2.4</v>
      </c>
      <c r="F257" s="26">
        <v>2.9</v>
      </c>
      <c r="G257" s="26">
        <f>ROUND(E257*見積!$D$8,2)</f>
        <v>2.88</v>
      </c>
      <c r="H257" s="26">
        <f>ROUND(F257*見積!$D$8,2)</f>
        <v>3.48</v>
      </c>
      <c r="I257" s="25" t="s">
        <v>390</v>
      </c>
    </row>
    <row r="258" spans="1:9" ht="27" x14ac:dyDescent="0.15">
      <c r="A258" s="25">
        <v>257</v>
      </c>
      <c r="B258" s="25" t="s">
        <v>59</v>
      </c>
      <c r="C258" s="25" t="s">
        <v>60</v>
      </c>
      <c r="D258" s="25" t="s">
        <v>391</v>
      </c>
      <c r="E258" s="26">
        <v>0.8</v>
      </c>
      <c r="F258" s="26">
        <v>1</v>
      </c>
      <c r="G258" s="26">
        <f>ROUND(E258*見積!$D$8,2)</f>
        <v>0.96</v>
      </c>
      <c r="H258" s="26">
        <f>ROUND(F258*見積!$D$8,2)</f>
        <v>1.2</v>
      </c>
      <c r="I258" s="25" t="s">
        <v>392</v>
      </c>
    </row>
    <row r="259" spans="1:9" ht="27" x14ac:dyDescent="0.15">
      <c r="A259" s="25">
        <v>258</v>
      </c>
      <c r="B259" s="25" t="s">
        <v>59</v>
      </c>
      <c r="C259" s="25" t="s">
        <v>60</v>
      </c>
      <c r="D259" s="25" t="s">
        <v>393</v>
      </c>
      <c r="E259" s="26">
        <v>0.7</v>
      </c>
      <c r="F259" s="26">
        <v>0.9</v>
      </c>
      <c r="G259" s="26">
        <f>ROUND(E259*見積!$D$8,2)</f>
        <v>0.84</v>
      </c>
      <c r="H259" s="26">
        <f>ROUND(F259*見積!$D$8,2)</f>
        <v>1.08</v>
      </c>
      <c r="I259" s="25" t="s">
        <v>394</v>
      </c>
    </row>
    <row r="260" spans="1:9" ht="27" x14ac:dyDescent="0.15">
      <c r="A260" s="25">
        <v>259</v>
      </c>
      <c r="B260" s="25" t="s">
        <v>59</v>
      </c>
      <c r="C260" s="25" t="s">
        <v>60</v>
      </c>
      <c r="D260" s="25" t="s">
        <v>395</v>
      </c>
      <c r="E260" s="26">
        <v>1.7</v>
      </c>
      <c r="F260" s="26">
        <v>2</v>
      </c>
      <c r="G260" s="26">
        <f>ROUND(E260*見積!$D$8,2)</f>
        <v>2.04</v>
      </c>
      <c r="H260" s="26">
        <f>ROUND(F260*見積!$D$8,2)</f>
        <v>2.4</v>
      </c>
      <c r="I260" s="25" t="s">
        <v>396</v>
      </c>
    </row>
    <row r="261" spans="1:9" ht="27" x14ac:dyDescent="0.15">
      <c r="A261" s="25">
        <v>260</v>
      </c>
      <c r="B261" s="25" t="s">
        <v>59</v>
      </c>
      <c r="C261" s="25" t="s">
        <v>60</v>
      </c>
      <c r="D261" s="25" t="s">
        <v>397</v>
      </c>
      <c r="E261" s="26">
        <v>1.2</v>
      </c>
      <c r="F261" s="26">
        <v>1.5</v>
      </c>
      <c r="G261" s="26">
        <f>ROUND(E261*見積!$D$8,2)</f>
        <v>1.44</v>
      </c>
      <c r="H261" s="26">
        <f>ROUND(F261*見積!$D$8,2)</f>
        <v>1.8</v>
      </c>
      <c r="I261" s="25" t="s">
        <v>398</v>
      </c>
    </row>
    <row r="262" spans="1:9" ht="27" x14ac:dyDescent="0.15">
      <c r="A262" s="25">
        <v>261</v>
      </c>
      <c r="B262" s="25" t="s">
        <v>59</v>
      </c>
      <c r="C262" s="25" t="s">
        <v>60</v>
      </c>
      <c r="D262" s="25" t="s">
        <v>399</v>
      </c>
      <c r="E262" s="26">
        <v>0.8</v>
      </c>
      <c r="F262" s="26">
        <v>1.1000000000000001</v>
      </c>
      <c r="G262" s="26">
        <f>ROUND(E262*見積!$D$8,2)</f>
        <v>0.96</v>
      </c>
      <c r="H262" s="26">
        <f>ROUND(F262*見積!$D$8,2)</f>
        <v>1.32</v>
      </c>
      <c r="I262" s="25" t="s">
        <v>400</v>
      </c>
    </row>
    <row r="263" spans="1:9" ht="27" x14ac:dyDescent="0.15">
      <c r="A263" s="25">
        <v>262</v>
      </c>
      <c r="B263" s="25" t="s">
        <v>59</v>
      </c>
      <c r="C263" s="25" t="s">
        <v>60</v>
      </c>
      <c r="D263" s="25" t="s">
        <v>401</v>
      </c>
      <c r="E263" s="26">
        <v>0.9</v>
      </c>
      <c r="F263" s="26">
        <v>1.1000000000000001</v>
      </c>
      <c r="G263" s="26">
        <f>ROUND(E263*見積!$D$8,2)</f>
        <v>1.08</v>
      </c>
      <c r="H263" s="26">
        <f>ROUND(F263*見積!$D$8,2)</f>
        <v>1.32</v>
      </c>
      <c r="I263" s="25" t="s">
        <v>402</v>
      </c>
    </row>
    <row r="264" spans="1:9" ht="27" x14ac:dyDescent="0.15">
      <c r="A264" s="25">
        <v>263</v>
      </c>
      <c r="B264" s="25" t="s">
        <v>59</v>
      </c>
      <c r="C264" s="25" t="s">
        <v>60</v>
      </c>
      <c r="D264" s="25" t="s">
        <v>403</v>
      </c>
      <c r="E264" s="26">
        <v>0.8</v>
      </c>
      <c r="F264" s="26">
        <v>1</v>
      </c>
      <c r="G264" s="26">
        <f>ROUND(E264*見積!$D$8,2)</f>
        <v>0.96</v>
      </c>
      <c r="H264" s="26">
        <f>ROUND(F264*見積!$D$8,2)</f>
        <v>1.2</v>
      </c>
      <c r="I264" s="25" t="s">
        <v>404</v>
      </c>
    </row>
    <row r="265" spans="1:9" ht="27" x14ac:dyDescent="0.15">
      <c r="A265" s="25">
        <v>264</v>
      </c>
      <c r="B265" s="25" t="s">
        <v>59</v>
      </c>
      <c r="C265" s="25" t="s">
        <v>60</v>
      </c>
      <c r="D265" s="25" t="s">
        <v>405</v>
      </c>
      <c r="E265" s="26">
        <v>1.1000000000000001</v>
      </c>
      <c r="F265" s="26">
        <v>1.4</v>
      </c>
      <c r="G265" s="26">
        <f>ROUND(E265*見積!$D$8,2)</f>
        <v>1.32</v>
      </c>
      <c r="H265" s="26">
        <f>ROUND(F265*見積!$D$8,2)</f>
        <v>1.68</v>
      </c>
      <c r="I265" s="25" t="s">
        <v>406</v>
      </c>
    </row>
  </sheetData>
  <autoFilter ref="A1:I265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見積</vt:lpstr>
      <vt:lpstr>MOC後詳細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dcterms:created xsi:type="dcterms:W3CDTF">2026-05-07T06:05:03Z</dcterms:created>
  <dcterms:modified xsi:type="dcterms:W3CDTF">2026-05-29T02:22:46Z</dcterms:modified>
</cp:coreProperties>
</file>