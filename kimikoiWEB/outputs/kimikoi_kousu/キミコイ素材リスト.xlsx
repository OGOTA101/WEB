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kousu\"/>
    </mc:Choice>
  </mc:AlternateContent>
  <bookViews>
    <workbookView xWindow="0" yWindow="0" windowWidth="28800" windowHeight="12120" activeTab="3"/>
  </bookViews>
  <sheets>
    <sheet name="ID命名規則" sheetId="1" r:id="rId1"/>
    <sheet name="サマリー" sheetId="2" r:id="rId2"/>
    <sheet name="音声" sheetId="3" r:id="rId3"/>
    <sheet name="イラスト" sheetId="4" r:id="rId4"/>
  </sheets>
  <definedNames>
    <definedName name="_xlnm._FilterDatabase" localSheetId="3" hidden="1">イラスト!$A$2:$N$242</definedName>
    <definedName name="_xlnm._FilterDatabase" localSheetId="2" hidden="1">音声!$A$2:$O$52</definedName>
  </definedNames>
  <calcPr calcId="162913" forceFullCalc="1"/>
</workbook>
</file>

<file path=xl/calcChain.xml><?xml version="1.0" encoding="utf-8"?>
<calcChain xmlns="http://schemas.openxmlformats.org/spreadsheetml/2006/main">
  <c r="G5" i="2" l="1"/>
  <c r="G20" i="2"/>
  <c r="G19" i="2"/>
  <c r="G18" i="2"/>
  <c r="G17" i="2"/>
  <c r="B17" i="2"/>
  <c r="G16" i="2"/>
  <c r="B16" i="2"/>
  <c r="G15" i="2"/>
  <c r="B15" i="2"/>
  <c r="G14" i="2"/>
  <c r="B14" i="2"/>
  <c r="G13" i="2"/>
  <c r="B13" i="2"/>
  <c r="G12" i="2"/>
  <c r="B12" i="2"/>
  <c r="G11" i="2"/>
  <c r="B11" i="2"/>
  <c r="G10" i="2"/>
  <c r="B10" i="2"/>
  <c r="G9" i="2"/>
  <c r="B9" i="2"/>
  <c r="G8" i="2"/>
  <c r="B8" i="2"/>
  <c r="G7" i="2"/>
  <c r="B7" i="2"/>
  <c r="G6" i="2"/>
  <c r="B6" i="2"/>
  <c r="B5" i="2"/>
  <c r="G4" i="2"/>
  <c r="B4" i="2"/>
</calcChain>
</file>

<file path=xl/sharedStrings.xml><?xml version="1.0" encoding="utf-8"?>
<sst xmlns="http://schemas.openxmlformats.org/spreadsheetml/2006/main" count="3585" uniqueCount="1853">
  <si>
    <t>更新履歴</t>
  </si>
  <si>
    <t>キミコイ_命名規則</t>
  </si>
  <si>
    <t>基本ルール</t>
  </si>
  <si>
    <t>・大竹さんの取り回ししやすいものが理想ですので、こうしたいなどありましたらお気軽にお申し付けください。</t>
  </si>
  <si>
    <t>## 命名規則</t>
  </si>
  <si>
    <t>・半角英数字・アンダースコアのみ使用（日本語・スペース・大文字禁止）</t>
  </si>
  <si>
    <t>・ui_ bg_ chara_ icon_ fx_ cursor_ bgm_ se_ vo_ cg_ ref_ などプレフィックスをつける</t>
  </si>
  <si>
    <t>例: ui_btn_start.png / bg_desktop_01.png / icon_lime_01.png</t>
  </si>
  <si>
    <t>・キャラ立ち絵や背景などのイラスト素材は差分の有無に関わらず差分番号と連番を付ける</t>
  </si>
  <si>
    <t>例: chara_miyu_01_01（デフォルト表情）, chara_miyu_01_02（笑顔差分）</t>
  </si>
  <si>
    <t>・IDを見ただけでどの素材か分かるように心がける</t>
  </si>
  <si>
    <t>■主要プレフィックス</t>
  </si>
  <si>
    <t>ui_：UI全般</t>
  </si>
  <si>
    <t>bg_：背景</t>
  </si>
  <si>
    <t>chara_：キャラクター</t>
  </si>
  <si>
    <t>└_miyu…美結の識別子</t>
  </si>
  <si>
    <t>└_imo…妹の識別子</t>
  </si>
  <si>
    <t>fx_：エフェクト</t>
  </si>
  <si>
    <t>bgm_：バックグラウンドミュージック</t>
  </si>
  <si>
    <t>se_：サウンドエフェクト</t>
  </si>
  <si>
    <t>vo_：音声ファイル（ボイス）</t>
  </si>
  <si>
    <t>cg_：イベントCG</t>
  </si>
  <si>
    <t>ref_：参考画像・完成図（ゲーム本編で使わない確認用素材）</t>
  </si>
  <si>
    <t>■背景</t>
  </si>
  <si>
    <t>・bg_(場所)_(差分番号)</t>
  </si>
  <si>
    <t>例) bg_classroom_01</t>
  </si>
  <si>
    <t>・差分番号は有無関わらず必ず01を付ける</t>
  </si>
  <si>
    <t>■キャライラスト</t>
  </si>
  <si>
    <t>・chara_(キャラ名)_(連番)_(差分番号)</t>
  </si>
  <si>
    <t>例) chara_miyu_01_01 / chara_imo_01_01</t>
  </si>
  <si>
    <t>・連番必須</t>
  </si>
  <si>
    <t>■UI</t>
  </si>
  <si>
    <t>・ui_(機能/画面)_(部位/種類)_(状態/連番)</t>
  </si>
  <si>
    <t>例) ui_lime_icon_01</t>
  </si>
  <si>
    <t>LIMEの顔アイコン等</t>
  </si>
  <si>
    <t>例)ui_kmki_btn_log</t>
  </si>
  <si>
    <t>キミコイの「ログ」ボタン</t>
  </si>
  <si>
    <t>例)ui_popup_exit</t>
  </si>
  <si>
    <t>ゲーム終了のポップアップ</t>
  </si>
  <si>
    <t>例)ui_kmki_choice_on</t>
  </si>
  <si>
    <t>キミコイ選択肢のマウスオーバー時の差分</t>
  </si>
  <si>
    <t>・連番は必要に応じて</t>
  </si>
  <si>
    <t>■fx</t>
  </si>
  <si>
    <t>・fx_(種類)_(連番)</t>
  </si>
  <si>
    <t>例) fx_glitch_noise_01 / fx_block_noise_01</t>
  </si>
  <si>
    <t>■BGM</t>
  </si>
  <si>
    <t>・bgm_(種類/使用箇所)_(連番)</t>
  </si>
  <si>
    <t>例) bgm_horror_01 / bgm_title_01 / bgm_kimikoi_01</t>
  </si>
  <si>
    <t>■SE</t>
  </si>
  <si>
    <t>・se_(種類/使用箇所)_(状態/連番)</t>
  </si>
  <si>
    <t>例) se_window_open / se_window_close / se_click_01</t>
  </si>
  <si>
    <t>■voice</t>
  </si>
  <si>
    <t>・vo_(再生箇所)_(連番)</t>
  </si>
  <si>
    <t>例) vo_day1_0010</t>
  </si>
  <si>
    <t>・実装されるボイスは妹のみの為、キャラクター識別子は不要</t>
  </si>
  <si>
    <t>・「day〇」「system」「skinship」「advmock」など再生する箇所を記名</t>
  </si>
  <si>
    <t>・連番は必須として10刻みで採番</t>
  </si>
  <si>
    <t>・万が一撮り直しなどが発生した場合に該当箇所の一の位を変更する</t>
  </si>
  <si>
    <t>例)vo_day1_0010→vo_day1_0011</t>
  </si>
  <si>
    <t>以上</t>
  </si>
  <si>
    <t>キミコイ素材リスト サマリー</t>
  </si>
  <si>
    <t>音声</t>
  </si>
  <si>
    <t>イラスト</t>
  </si>
  <si>
    <t>総数</t>
  </si>
  <si>
    <t>取込済</t>
  </si>
  <si>
    <t>未取込</t>
  </si>
  <si>
    <t>使用中</t>
  </si>
  <si>
    <t>未使用/未確認</t>
  </si>
  <si>
    <t>ループあり</t>
  </si>
  <si>
    <t>UI</t>
  </si>
  <si>
    <t>ループなし</t>
  </si>
  <si>
    <t>背景</t>
  </si>
  <si>
    <t>BGM</t>
  </si>
  <si>
    <t>イベントCG</t>
  </si>
  <si>
    <t>SE</t>
  </si>
  <si>
    <t>キャラクター</t>
  </si>
  <si>
    <t>VOICE</t>
  </si>
  <si>
    <t>エフェクト</t>
  </si>
  <si>
    <t>命名要修正</t>
  </si>
  <si>
    <t>参考画像</t>
  </si>
  <si>
    <t>Unityのみ/命名要修正</t>
  </si>
  <si>
    <t>デスクトップ/Googru</t>
  </si>
  <si>
    <t>ステータス未取込</t>
  </si>
  <si>
    <t>ロゴ</t>
  </si>
  <si>
    <t>OK</t>
  </si>
  <si>
    <t>対象範囲</t>
  </si>
  <si>
    <t>音声!A2:O52</t>
  </si>
  <si>
    <t>イラスト!A2:N242</t>
  </si>
  <si>
    <t>No.</t>
  </si>
  <si>
    <t>ID</t>
  </si>
  <si>
    <t>区分</t>
  </si>
  <si>
    <t>使用想定</t>
  </si>
  <si>
    <t>ループ</t>
  </si>
  <si>
    <t>ステータス</t>
  </si>
  <si>
    <t>更新日</t>
  </si>
  <si>
    <t>現在のファイル名</t>
  </si>
  <si>
    <t>推奨ID</t>
  </si>
  <si>
    <t>元フォルダ</t>
  </si>
  <si>
    <t>Unity内パス</t>
  </si>
  <si>
    <t>Unity取込済</t>
  </si>
  <si>
    <t>Unity使用中</t>
  </si>
  <si>
    <t>使用箇所</t>
  </si>
  <si>
    <t>備考</t>
  </si>
  <si>
    <t>0.君と恋する１０日間。</t>
  </si>
  <si>
    <t>キミコイADV BGM: title</t>
  </si>
  <si>
    <t>〇</t>
  </si>
  <si>
    <t>2026-04-28</t>
  </si>
  <si>
    <t>0.君と恋する１０日間。.wav</t>
  </si>
  <si>
    <t>bgm_title_01</t>
  </si>
  <si>
    <t>Resource/sound/BGM/0.君と恋する１０日間。.wav</t>
  </si>
  <si>
    <t>Horage/Assets/Audio/BGM/0.君と恋する１０日間。.wav</t>
  </si>
  <si>
    <t>キミコイADVのBGMキュー（BGM_TITLE、master_scenario_01_初回DAY1.csv 5行目）</t>
  </si>
  <si>
    <t>1.十日参り</t>
  </si>
  <si>
    <t>キミコイADV BGM: toka_mairi</t>
  </si>
  <si>
    <t>1.十日参り.wav</t>
  </si>
  <si>
    <t>bgm_toka_mairi_01</t>
  </si>
  <si>
    <t>Resource/sound/BGM/1.十日参り.wav</t>
  </si>
  <si>
    <t>Horage/Assets/Audio/BGM/1.十日参り.wav</t>
  </si>
  <si>
    <t>キミコイADVのBGMキュー（BGM_十日参り、master_scenario_01_初回DAY1.csv 104行目）</t>
  </si>
  <si>
    <t>1.十日参り_noise</t>
  </si>
  <si>
    <t>キミコイADV BGM: toka_mairi_noise</t>
  </si>
  <si>
    <t>2026-05-22</t>
  </si>
  <si>
    <t>1.十日参り_noise.wav</t>
  </si>
  <si>
    <t>bgm_toka_mairi_noise_01</t>
  </si>
  <si>
    <t>Resource/sound/BGM/1.十日参り_noise.wav</t>
  </si>
  <si>
    <t>Horage/Assets/Audio/BGM/1.十日参り_noise.wav</t>
  </si>
  <si>
    <t>10,sound_skipping_lv2</t>
  </si>
  <si>
    <t>キミコイADV BGM: skipping_lv2</t>
  </si>
  <si>
    <t>2026-05-25</t>
  </si>
  <si>
    <t>10,sound_skipping_lv2.wav</t>
  </si>
  <si>
    <t>bgm_skipping_lv2_01</t>
  </si>
  <si>
    <t>Resource/sound/BGM/10,sound_skipping_lv2.wav</t>
  </si>
  <si>
    <t>Horage/Assets/Audio/BGM/10,sound_skipping_lv2.wav</t>
  </si>
  <si>
    <t>キミコイADVのBGMキュー（BGM_音飛び深刻化、master_scenario_02_初回DAY２.csv 87行目）</t>
  </si>
  <si>
    <t>2,自宅</t>
  </si>
  <si>
    <t>キミコイADV BGM: home</t>
  </si>
  <si>
    <t>2,自宅.wav</t>
  </si>
  <si>
    <t>bgm_home_01</t>
  </si>
  <si>
    <t>Resource/sound/BGM/2,自宅.wav</t>
  </si>
  <si>
    <t>Horage/Assets/Audio/BGM/2,自宅.wav</t>
  </si>
  <si>
    <t>キミコイADVのBGMキュー（BGM_自宅、master_scenario_01_初回DAY1.csv 123行目）</t>
  </si>
  <si>
    <t>2,自宅_noise</t>
  </si>
  <si>
    <t>キミコイADV BGM: home_noise</t>
  </si>
  <si>
    <t>2,自宅_noise.wav</t>
  </si>
  <si>
    <t>bgm_home_noise_01</t>
  </si>
  <si>
    <t>Resource/sound/BGM/2,自宅_noise.wav</t>
  </si>
  <si>
    <t>Horage/Assets/Audio/BGM/2,自宅_noise.wav</t>
  </si>
  <si>
    <t>3,教室</t>
  </si>
  <si>
    <t>キミコイADV BGM: classroom</t>
  </si>
  <si>
    <t>3,教室.wav</t>
  </si>
  <si>
    <t>bgm_classroom_01</t>
  </si>
  <si>
    <t>Resource/sound/BGM/3,教室.wav</t>
  </si>
  <si>
    <t>Horage/Assets/Audio/BGM/3,教室.wav</t>
  </si>
  <si>
    <t>キミコイADVのBGMキュー（BGM_教室、master_scenario_02_初回DAY２.csv 5行目）</t>
  </si>
  <si>
    <t>3,教室_noise</t>
  </si>
  <si>
    <t>キミコイADV BGM: classroom_noise</t>
  </si>
  <si>
    <t>3,教室_noise.wav</t>
  </si>
  <si>
    <t>bgm_classroom_noise_01</t>
  </si>
  <si>
    <t>Resource/sound/BGM/3,教室_noise.wav</t>
  </si>
  <si>
    <t>Horage/Assets/Audio/BGM/3,教室_noise.wav</t>
  </si>
  <si>
    <t>4,市街地</t>
  </si>
  <si>
    <t>キミコイADV BGM: downtown</t>
  </si>
  <si>
    <t>4,市街地.wav</t>
  </si>
  <si>
    <t>bgm_downtown_01</t>
  </si>
  <si>
    <t>Resource/sound/BGM/4,市街地.wav</t>
  </si>
  <si>
    <t>Horage/Assets/Audio/BGM/4,市街地.wav</t>
  </si>
  <si>
    <t>キミコイADVのBGMキュー（BGM_市街地、master_scenario_02_初回DAY２.csv 29行目）</t>
  </si>
  <si>
    <t>4,市街地_noise</t>
  </si>
  <si>
    <t>キミコイADV BGM: downtown_noise</t>
  </si>
  <si>
    <t>4,市街地_noise.wav</t>
  </si>
  <si>
    <t>bgm_downtown_noise_01</t>
  </si>
  <si>
    <t>Resource/sound/BGM/4,市街地_noise.wav</t>
  </si>
  <si>
    <t>Horage/Assets/Audio/BGM/4,市街地_noise.wav</t>
  </si>
  <si>
    <t>5,買い物</t>
  </si>
  <si>
    <t>キミコイADV BGM: shopping</t>
  </si>
  <si>
    <t>5,買い物.wav</t>
  </si>
  <si>
    <t>bgm_shopping_01</t>
  </si>
  <si>
    <t>Resource/sound/BGM/5,買い物.wav</t>
  </si>
  <si>
    <t>Horage/Assets/Audio/BGM/5,買い物.wav</t>
  </si>
  <si>
    <t>キミコイADVのBGMキュー（BGM_買い物、master_scenario_03_初回DAY３.csv 10行目）</t>
  </si>
  <si>
    <t>5,買い物_noise</t>
  </si>
  <si>
    <t>キミコイADV BGM: shopping_noise</t>
  </si>
  <si>
    <t>5,買い物_noise.wav</t>
  </si>
  <si>
    <t>bgm_shopping_noise_01</t>
  </si>
  <si>
    <t>Resource/sound/BGM/5,買い物_noise.wav</t>
  </si>
  <si>
    <t>Horage/Assets/Audio/BGM/5,買い物_noise.wav</t>
  </si>
  <si>
    <t>6,海辺</t>
  </si>
  <si>
    <t>キミコイADV BGM: seaside</t>
  </si>
  <si>
    <t>6,海辺.wav</t>
  </si>
  <si>
    <t>bgm_seaside_01</t>
  </si>
  <si>
    <t>Resource/sound/BGM/6,海辺.wav</t>
  </si>
  <si>
    <t>Horage/Assets/Audio/BGM/6,海辺.wav</t>
  </si>
  <si>
    <t>キミコイADVのBGMキュー（BGM_海辺、master_scenario_07_共通DAY４.csv 10行目）</t>
  </si>
  <si>
    <t>6,海辺_noise</t>
  </si>
  <si>
    <t>キミコイADV BGM: seaside_noise</t>
  </si>
  <si>
    <t>6,海辺_noise.wav</t>
  </si>
  <si>
    <t>bgm_seaside_noise_01</t>
  </si>
  <si>
    <t>Resource/sound/BGM/6,海辺_noise.wav</t>
  </si>
  <si>
    <t>Horage/Assets/Audio/BGM/6,海辺_noise.wav</t>
  </si>
  <si>
    <t>7,神社</t>
  </si>
  <si>
    <t>キミコイADV BGM: shrine</t>
  </si>
  <si>
    <t>2026-05-14</t>
  </si>
  <si>
    <t>7,神社.wav</t>
  </si>
  <si>
    <t>bgm_shrine_01</t>
  </si>
  <si>
    <t>Resource/sound/BGM/7,神社.wav</t>
  </si>
  <si>
    <t>Horage/Assets/Audio/BGM/7,神社.wav</t>
  </si>
  <si>
    <t>キミコイADVのBGMキュー（BGM_神社、master_scenario_01_初回DAY1.csv 12行目）</t>
  </si>
  <si>
    <t>7,神社_noise</t>
  </si>
  <si>
    <t>キミコイADV BGM: shrine_noise</t>
  </si>
  <si>
    <t>7,神社_noise.wav</t>
  </si>
  <si>
    <t>bgm_shrine_noise_01</t>
  </si>
  <si>
    <t>Resource/sound/BGM/7,神社_noise.wav</t>
  </si>
  <si>
    <t>Horage/Assets/Audio/BGM/7,神社_noise.wav</t>
  </si>
  <si>
    <t>8,スキンシップ</t>
  </si>
  <si>
    <t>キミコイADV BGM: skinship</t>
  </si>
  <si>
    <t>2026-05-24</t>
  </si>
  <si>
    <t>8,スキンシップ.wav</t>
  </si>
  <si>
    <t>bgm_skinship_01</t>
  </si>
  <si>
    <t>Resource/sound/BGM/8,スキンシップ.wav</t>
  </si>
  <si>
    <t>Horage/Assets/Audio/BGM/8,スキンシップ.wav</t>
  </si>
  <si>
    <t>キミコイADVのHUD・BGM/SE/ボイスキュー定義</t>
  </si>
  <si>
    <t>9,sound_skipping_lv1</t>
  </si>
  <si>
    <t>キミコイADV BGM: skipping_lv1</t>
  </si>
  <si>
    <t>9,sound_skipping_lv1.wav</t>
  </si>
  <si>
    <t>bgm_skipping_lv1_01</t>
  </si>
  <si>
    <t>Resource/sound/BGM/9,sound_skipping_lv1.wav</t>
  </si>
  <si>
    <t>Horage/Assets/Audio/BGM/9,sound_skipping_lv1.wav</t>
  </si>
  <si>
    <t>キミコイADVのBGMキュー（BGM_市街地_音飛び、master_scenario_02_初回DAY２.csv 69行目）</t>
  </si>
  <si>
    <t>blue_screen_beep</t>
  </si>
  <si>
    <t>SE: blue_screen_beep</t>
  </si>
  <si>
    <t>2026-05-16</t>
  </si>
  <si>
    <t>blue_screen_beep.wav</t>
  </si>
  <si>
    <t>se_blue_screen_beep</t>
  </si>
  <si>
    <t>Resource/sound/SE/blue_screen_beep.wav</t>
  </si>
  <si>
    <t>Horage/Assets/Audio/SE/blue_screen_beep.wav</t>
  </si>
  <si>
    <t>妹ホラー急拡大・ブルスク演出設定</t>
  </si>
  <si>
    <t>keybord1</t>
  </si>
  <si>
    <t>SE: keybord1</t>
  </si>
  <si>
    <t>keybord1.wav</t>
  </si>
  <si>
    <t>se_keyboard_01</t>
  </si>
  <si>
    <t>Resource/sound/SE/keybord1.wav</t>
  </si>
  <si>
    <t>Horage/Assets/Audio/SE/keybord1.wav</t>
  </si>
  <si>
    <t>デスクトップ設定（DesktopShellSettings.asset）</t>
  </si>
  <si>
    <t>keybord2</t>
  </si>
  <si>
    <t>SE: keybord2</t>
  </si>
  <si>
    <t>keybord2.wav</t>
  </si>
  <si>
    <t>se_keyboard_02</t>
  </si>
  <si>
    <t>Resource/sound/SE/keybord2.wav</t>
  </si>
  <si>
    <t>Horage/Assets/Audio/SE/keybord2.wav</t>
  </si>
  <si>
    <t>kimikoi_button_mouseon</t>
  </si>
  <si>
    <t>SE: kimikoi_button_mouseon</t>
  </si>
  <si>
    <t>2026-05-13</t>
  </si>
  <si>
    <t>kimikoi_button_mouseon.mp3</t>
  </si>
  <si>
    <t>se_kimikoi_button_mouseover</t>
  </si>
  <si>
    <t>Resource/sound/SE/kimikoi_button_mouseon.mp3</t>
  </si>
  <si>
    <t>Horage/Assets/Audio/SE/kimikoi_button_mouseon.mp3</t>
  </si>
  <si>
    <t>SE_kimikoi_button_mouseon のキュー名は定義あり。ただし現在のUnityファイルGUID参照なし</t>
  </si>
  <si>
    <t>キュー定義のGUIDが現ファイルと不一致の可能性</t>
  </si>
  <si>
    <t>kimikoi_button_push</t>
  </si>
  <si>
    <t>SE: kimikoi_button_push</t>
  </si>
  <si>
    <t>kimikoi_button_push.mp3</t>
  </si>
  <si>
    <t>se_kimikoi_button_push</t>
  </si>
  <si>
    <t>Resource/sound/SE/kimikoi_button_push.mp3</t>
  </si>
  <si>
    <t>Horage/Assets/Audio/SE/kimikoi_button_push.mp3</t>
  </si>
  <si>
    <t>SE_kimikoi_button_push のキュー名は定義あり。ただし現在のUnityファイルGUID参照なし</t>
  </si>
  <si>
    <t>lime_boot</t>
  </si>
  <si>
    <t>SE: lime_boot</t>
  </si>
  <si>
    <t>lime_boot.mp3</t>
  </si>
  <si>
    <t>se_lime_boot</t>
  </si>
  <si>
    <t>Resource/sound/SE/lime_boot.mp3</t>
  </si>
  <si>
    <t>Horage/Assets/Audio/SE/lime_boot.mp3</t>
  </si>
  <si>
    <t>キミコイADVのSEキュー（SE_lime_boot、KimikoiAdvHeaderAndAudioData.asset）</t>
  </si>
  <si>
    <t>lime_notification</t>
  </si>
  <si>
    <t>SE: lime_notification</t>
  </si>
  <si>
    <t>lime_notification.mp3</t>
  </si>
  <si>
    <t>se_lime_notification</t>
  </si>
  <si>
    <t>Resource/sound/SE/lime_notification.mp3</t>
  </si>
  <si>
    <t>Horage/Assets/Audio/SE/lime_notification.mp3</t>
  </si>
  <si>
    <t>キミコイADVのSEキュー（SE_lime_notification、KimikoiAdvHeaderAndAudioData.asset）</t>
  </si>
  <si>
    <t>lime_send</t>
  </si>
  <si>
    <t>SE: lime_send</t>
  </si>
  <si>
    <t>lime_send.mp3</t>
  </si>
  <si>
    <t>se_lime_send</t>
  </si>
  <si>
    <t>Resource/sound/SE/lime_send.mp3</t>
  </si>
  <si>
    <t>Horage/Assets/Audio/SE/lime_send.mp3</t>
  </si>
  <si>
    <t>キミコイADVのSEキュー（SE_lime_send、KimikoiAdvHeaderAndAudioData.asset）</t>
  </si>
  <si>
    <t>mouse</t>
  </si>
  <si>
    <t>SE: mouse</t>
  </si>
  <si>
    <t>mouse.wav</t>
  </si>
  <si>
    <t>se_mouse_click_01</t>
  </si>
  <si>
    <t>Resource/sound/SE/mouse.wav</t>
  </si>
  <si>
    <t>Horage/Assets/Audio/SE/mouse.wav</t>
  </si>
  <si>
    <t>デスクトップ設定（UI_Click.asset）</t>
  </si>
  <si>
    <t>noise_Intermittent</t>
  </si>
  <si>
    <t>SE: noise_Intermittent</t>
  </si>
  <si>
    <t>2026-05-19</t>
  </si>
  <si>
    <t>noise_Intermittent.wav</t>
  </si>
  <si>
    <t>se_noise_intermittent</t>
  </si>
  <si>
    <t>Resource/sound/SE/noise_Intermittent.wav</t>
  </si>
  <si>
    <t>Horage/Assets/Audio/SE/noise_intermittent.wav</t>
  </si>
  <si>
    <t>キミコイADVのバグ/グリッチ演出定義</t>
  </si>
  <si>
    <t>noise_moment</t>
  </si>
  <si>
    <t>SE: noise_moment</t>
  </si>
  <si>
    <t>noise_moment.wav</t>
  </si>
  <si>
    <t>se_noise_moment</t>
  </si>
  <si>
    <t>Resource/sound/SE/noise_moment.wav</t>
  </si>
  <si>
    <t>Horage/Assets/Audio/SE/noise_moment.wav</t>
  </si>
  <si>
    <t>妹表示遷移のノイズ演出設定</t>
  </si>
  <si>
    <t>noise_sand</t>
  </si>
  <si>
    <t>SE: noise_sand</t>
  </si>
  <si>
    <t>noise_sand.mp3</t>
  </si>
  <si>
    <t>se_noise_sand</t>
  </si>
  <si>
    <t>Resource/sound/SE/noise_sand.mp3</t>
  </si>
  <si>
    <t>Horage/Assets/Audio/SE/noise_sand.mp3</t>
  </si>
  <si>
    <t>para_change</t>
  </si>
  <si>
    <t>SE: para_change</t>
  </si>
  <si>
    <t>para_change.mp3</t>
  </si>
  <si>
    <t>se_parameter_change</t>
  </si>
  <si>
    <t>Resource/sound/SE/para_change.mp3</t>
  </si>
  <si>
    <t>Horage/Assets/Audio/SE/para_change.mp3</t>
  </si>
  <si>
    <t>pom</t>
  </si>
  <si>
    <t>SE: pom</t>
  </si>
  <si>
    <t>2026-05-12</t>
  </si>
  <si>
    <t>pom.mp3</t>
  </si>
  <si>
    <t>se_pom_01</t>
  </si>
  <si>
    <t>Resource/sound/SE/pom.mp3</t>
  </si>
  <si>
    <t>Horage/Assets/Audio/SE/pom.mp3</t>
  </si>
  <si>
    <t>SE_pom のキュー名は定義あり。ただし現在のUnityファイルGUID参照なし</t>
  </si>
  <si>
    <t>sister_atack</t>
  </si>
  <si>
    <t>SE: sister_atack</t>
  </si>
  <si>
    <t>sister_atack.wav</t>
  </si>
  <si>
    <t>se_sister_attack</t>
  </si>
  <si>
    <t>Resource/sound/SE/sister_atack.wav</t>
  </si>
  <si>
    <t>Horage/Assets/Audio/SE/sister_atack.wav</t>
  </si>
  <si>
    <t>sparrow</t>
  </si>
  <si>
    <t>SE: sparrow</t>
  </si>
  <si>
    <t>sparrow.mp3</t>
  </si>
  <si>
    <t>se_sparrow_01</t>
  </si>
  <si>
    <t>Resource/sound/SE/sparrow.mp3</t>
  </si>
  <si>
    <t>Horage/Assets/Audio/SE/sparrow.mp3</t>
  </si>
  <si>
    <t>キミコイADVのSEキュー（SE_スズメの声、master_scenario_01_初回DAY1.csv 9行目）</t>
  </si>
  <si>
    <t>00-見つけた-妹モックボイス</t>
  </si>
  <si>
    <t>妹モックボイス: 見つけた</t>
  </si>
  <si>
    <t>2026-05-21</t>
  </si>
  <si>
    <t>00-見つけた-妹モックボイス.wav</t>
  </si>
  <si>
    <t>vo_advmock_0010</t>
  </si>
  <si>
    <t>Resource/voice/00-見つけた-妹モックボイス.wav</t>
  </si>
  <si>
    <t>Horage/Assets/Audio/VOICE/AdvMock/00-見つけた-妹モックボイス.wav</t>
  </si>
  <si>
    <t>Unity取込済み。代表的な使用箇所は未確認</t>
  </si>
  <si>
    <t>00-見つけた-妹モックボイス2.0</t>
  </si>
  <si>
    <t>00-見つけた-妹モックボイス2.0.wav</t>
  </si>
  <si>
    <t>vo_advmock_0011</t>
  </si>
  <si>
    <t>Resource/voice/00-見つけた-妹モックボイス2.0.wav</t>
  </si>
  <si>
    <t>Horage/Assets/Audio/VOICE/AdvMock/00-見つけた-妹モックボイス2.0.wav</t>
  </si>
  <si>
    <t>キミコイADV/REAL_ADVのボイス（VOICE_見つけた、master_scenario_02_初回DAY２.csv 103行目）</t>
  </si>
  <si>
    <t>01-ねえねえ。お兄ちゃんは-妹モックボイス</t>
  </si>
  <si>
    <t>妹モックボイス: ねえねえ。お兄ちゃんは</t>
  </si>
  <si>
    <t>01-ねえねえ。お兄ちゃんは-妹モックボイス.wav</t>
  </si>
  <si>
    <t>vo_advmock_0020</t>
  </si>
  <si>
    <t>Resource/voice/01-ねえねえ。お兄ちゃんは-妹モックボイス.wav</t>
  </si>
  <si>
    <t>Horage/Assets/Audio/VOICE/AdvMock/01-ねえねえ。お兄ちゃんは-妹モックボイス.wav</t>
  </si>
  <si>
    <t>キミコイADV/REAL_ADVのボイス（VOICE_ねえねえお兄ちゃんは、master_scenario_02_初回DAY２.csv 104行目）</t>
  </si>
  <si>
    <t>02-わたしをヒロインにしてくれる？-妹モックボイス</t>
  </si>
  <si>
    <t>妹モックボイス: わたしをヒロインにしてくれる？</t>
  </si>
  <si>
    <t>02-わたしをヒロインにしてくれる？-妹モックボイス.wav</t>
  </si>
  <si>
    <t>vo_advmock_0030</t>
  </si>
  <si>
    <t>Resource/voice/02-わたしをヒロインにしてくれる？-妹モックボイス.wav</t>
  </si>
  <si>
    <t>Horage/Assets/Audio/VOICE/AdvMock/02-わたしをヒロインにしてくれる？-妹モックボイス.wav</t>
  </si>
  <si>
    <t>キミコイADV/REAL_ADVのボイス（VOICE_わたしをヒロインにしてくれる、master_scenario_02_初回DAY２.csv 105行目）</t>
  </si>
  <si>
    <t>03-ありがとう-妹モックボイス</t>
  </si>
  <si>
    <t>妹モックボイス: ありがとう</t>
  </si>
  <si>
    <t>03-ありがとう-妹モックボイス.wav</t>
  </si>
  <si>
    <t>vo_advmock_0040</t>
  </si>
  <si>
    <t>Resource/voice/03-ありがとう-妹モックボイス.wav</t>
  </si>
  <si>
    <t>Horage/Assets/Audio/VOICE/AdvMock/03-ありがとう-妹モックボイス.wav</t>
  </si>
  <si>
    <t>キミコイADV/REAL_ADVのボイス（VOICE_ありがとう、master_scenario_02_初回DAY２.csv 108行目）</t>
  </si>
  <si>
    <t>04-幸せにしてね、約束だよ-妹モックボイス</t>
  </si>
  <si>
    <t>妹モックボイス: 幸せにしてね、約束だよ</t>
  </si>
  <si>
    <t>04-幸せにしてね、約束だよ-妹モックボイス.wav</t>
  </si>
  <si>
    <t>vo_advmock_0050</t>
  </si>
  <si>
    <t>Resource/voice/04-幸せにしてね、約束だよ-妹モックボイス.wav</t>
  </si>
  <si>
    <t>Horage/Assets/Audio/VOICE/AdvMock/04-幸せにしてね、約束だよ-妹モックボイス.wav</t>
  </si>
  <si>
    <t>キミコイADV/REAL_ADVのボイス（VOICE_幸せにしてね約束だよ、master_scenario_02_初回DAY２.csv 109行目）</t>
  </si>
  <si>
    <t>05-やっちゃったね、お兄ちゃん-妹モックボイス</t>
  </si>
  <si>
    <t>妹モックボイス: やっちゃったね、お兄ちゃん</t>
  </si>
  <si>
    <t>05-やっちゃったね、お兄ちゃん-妹モックボイス.wav</t>
  </si>
  <si>
    <t>vo_advmock_0060</t>
  </si>
  <si>
    <t>Resource/voice/05-やっちゃったね、お兄ちゃん-妹モックボイス.wav</t>
  </si>
  <si>
    <t>Horage/Assets/Audio/VOICE/AdvMock/05-やっちゃったね、お兄ちゃん-妹モックボイス.wav</t>
  </si>
  <si>
    <t>キミコイADV/REAL_ADVのボイス（VOICE_やっちゃったねお兄ちゃん、master_scenario_03_初回DAY３.csv 78行目）</t>
  </si>
  <si>
    <t>06-あの女ばっかり選んで-妹モックボイス</t>
  </si>
  <si>
    <t>妹モックボイス: あの女ばっかり選んで</t>
  </si>
  <si>
    <t>06-あの女ばっかり選んで-妹モックボイス.wav</t>
  </si>
  <si>
    <t>vo_advmock_0070</t>
  </si>
  <si>
    <t>Resource/voice/06-あの女ばっかり選んで-妹モックボイス.wav</t>
  </si>
  <si>
    <t>Horage/Assets/Audio/VOICE/AdvMock/06-あの女ばっかり選んで-妹モックボイス.wav</t>
  </si>
  <si>
    <t>キミコイADV/REAL_ADVのボイス（VOICE_あの女ばっかり選んで、master_scenario_03_初回DAY３.csv 79行目）</t>
  </si>
  <si>
    <t>07-私をヒロインにしてくれないなら-妹モックボイス</t>
  </si>
  <si>
    <t>妹モックボイス: 私をヒロインにしてくれないなら</t>
  </si>
  <si>
    <t>07-私をヒロインにしてくれないなら-妹モックボイス.wav</t>
  </si>
  <si>
    <t>vo_advmock_0080</t>
  </si>
  <si>
    <t>Resource/voice/07-私をヒロインにしてくれないなら-妹モックボイス.wav</t>
  </si>
  <si>
    <t>Horage/Assets/Audio/VOICE/AdvMock/07-私をヒロインにしてくれないなら-妹モックボイス.wav</t>
  </si>
  <si>
    <t>キミコイADV/REAL_ADVのボイス（VOICE_ヒロインにしてくれないなら、master_scenario_03_初回DAY３.csv 80行目）</t>
  </si>
  <si>
    <t>08-バイバイ-妹モックボイス</t>
  </si>
  <si>
    <t>妹モックボイス: バイバイ</t>
  </si>
  <si>
    <t>08-バイバイ-妹モックボイス.wav</t>
  </si>
  <si>
    <t>vo_advmock_0090</t>
  </si>
  <si>
    <t>Resource/voice/08-バイバイ-妹モックボイス.wav</t>
  </si>
  <si>
    <t>Horage/Assets/Audio/VOICE/AdvMock/08-バイバイ-妹モックボイス.wav</t>
  </si>
  <si>
    <t>キミコイADV/REAL_ADVのボイス（VOICE_バイバイ、master_scenario_03_初回DAY３.csv 81行目）</t>
  </si>
  <si>
    <t>09-また会えたね、お兄ちゃん-妹モックボイス</t>
  </si>
  <si>
    <t>妹モックボイス: また会えたね、お兄ちゃん</t>
  </si>
  <si>
    <t>09-また会えたね、お兄ちゃん-妹モックボイス.wav</t>
  </si>
  <si>
    <t>vo_advmock_0100</t>
  </si>
  <si>
    <t>Resource/voice/09-また会えたね、お兄ちゃん-妹モックボイス.wav</t>
  </si>
  <si>
    <t>Horage/Assets/Audio/VOICE/AdvMock/09-また会えたね、お兄ちゃん-妹モックボイス.wav</t>
  </si>
  <si>
    <t>キミコイADV/REAL_ADVのボイス（VOICE_また会えたねお兄ちゃん、master_scenario_04_共通DAY1.csv 140行目）</t>
  </si>
  <si>
    <t>10-さっきは酷かったよ。_わたしじゃなくて、-妹モックボイス</t>
  </si>
  <si>
    <t>妹モックボイス: さっきは酷かったよ。_わたしじゃなくて、</t>
  </si>
  <si>
    <t>10-さっきは酷かったよ。_わたしじゃなくて、-妹モックボイス.wav</t>
  </si>
  <si>
    <t>vo_advmock_0110</t>
  </si>
  <si>
    <t>Resource/voice/10-さっきは酷かったよ。_わたしじゃなくて、-妹モックボイス.wav</t>
  </si>
  <si>
    <t>Horage/Assets/Audio/VOICE/AdvMock/10-さっきは酷かったよ。_わたしじゃなくて、-妹モックボイス.wav</t>
  </si>
  <si>
    <t>キミコイADV/REAL_ADVのボイス（VOICE_さっきは酷かったよ、master_scenario_04_共通DAY1.csv 144行目）</t>
  </si>
  <si>
    <t>11-今度こそ、_わたしをかわいがってね-妹モックボイス</t>
  </si>
  <si>
    <t>妹モックボイス: 今度こそ、_わたしをかわいがってね</t>
  </si>
  <si>
    <t>11-今度こそ、_わたしをかわいがってね-妹モックボイス.wav</t>
  </si>
  <si>
    <t>vo_advmock_0120</t>
  </si>
  <si>
    <t>Resource/voice/11-今度こそ、_わたしをかわいがってね-妹モックボイス.wav</t>
  </si>
  <si>
    <t>Horage/Assets/Audio/VOICE/AdvMock/11-今度こそ、_わたしをかわいがってね-妹モックボイス.wav</t>
  </si>
  <si>
    <t>キミコイADV/REAL_ADVのボイス（VOICE_今度こそわたしをかわいがってね、master_scenario_04_共通DAY1.csv 146行目）</t>
  </si>
  <si>
    <t>12-うふふ-妹モックボイス</t>
  </si>
  <si>
    <t>妹モックボイス: うふふ</t>
  </si>
  <si>
    <t>12-うふふ-妹モックボイス.wav</t>
  </si>
  <si>
    <t>vo_advmock_0130</t>
  </si>
  <si>
    <t>Resource/voice/12-うふふ-妹モックボイス.wav</t>
  </si>
  <si>
    <t>Horage/Assets/Audio/VOICE/AdvMock/12-うふふ-妹モックボイス.wav</t>
  </si>
  <si>
    <t>12-うふふ-妹モックボイスver2.0</t>
  </si>
  <si>
    <t>12-うふふ-妹モックボイスver2.0.wav</t>
  </si>
  <si>
    <t>vo_advmock_0131</t>
  </si>
  <si>
    <t>Resource/voice/12-うふふ-妹モックボイスver2.0.wav</t>
  </si>
  <si>
    <t>Horage/Assets/Audio/VOICE/AdvMock/12-うふふ-妹モックボイスver2.0.wav</t>
  </si>
  <si>
    <t>キミコイADV/REAL_ADVのボイス（VOICE_うふふ、master_scenario_04_共通DAY1.csv 139行目）</t>
  </si>
  <si>
    <t>blipmiyu</t>
  </si>
  <si>
    <t>ADVタイプライター用ボイスブリップ</t>
  </si>
  <si>
    <t>2026-05-10</t>
  </si>
  <si>
    <t>blipmiyu.wav</t>
  </si>
  <si>
    <t>vo_miyu_blip_01</t>
  </si>
  <si>
    <t>Horage/Assets/Audio/VOICE/blipmiyu.wav</t>
  </si>
  <si>
    <t>Data/Kimikoi/KimikoiAdvEmbeddedCopy.asset</t>
  </si>
  <si>
    <t>Resource側に同名/同内容の元素材なし</t>
  </si>
  <si>
    <t>使用想定(画像)</t>
  </si>
  <si>
    <t>EVCG1</t>
  </si>
  <si>
    <t>イベントCG: EVCG1</t>
  </si>
  <si>
    <t>EVCG1.png</t>
  </si>
  <si>
    <t>cg_miyu_shrine_01</t>
  </si>
  <si>
    <t>Resource/image/EVCG1.png</t>
  </si>
  <si>
    <t>Horage/Assets/Resources/CG/EVCG1.png</t>
  </si>
  <si>
    <t>キミコイADVの立ち絵・EVCG定義</t>
  </si>
  <si>
    <t>EVCG1_turn</t>
  </si>
  <si>
    <t>イベントCG: EVCG1_turn</t>
  </si>
  <si>
    <t>EVCG1_turn.png</t>
  </si>
  <si>
    <t>cg_miyu_shrine_02</t>
  </si>
  <si>
    <t>Resource/image/EVCG1_turn.png</t>
  </si>
  <si>
    <t>Horage/Assets/Resources/CG/EVCG1_turn.png</t>
  </si>
  <si>
    <t>EVCG2_e</t>
  </si>
  <si>
    <t>イベントCG: EVCG2_e</t>
  </si>
  <si>
    <t>EVCG2_e.png</t>
  </si>
  <si>
    <t>cg_evcg2_evening_01</t>
  </si>
  <si>
    <t>Resource/image/EVCG2_e.png</t>
  </si>
  <si>
    <t>Horage/Assets/Resources/CG/EVCG2_e.png</t>
  </si>
  <si>
    <t>EVCG2_m</t>
  </si>
  <si>
    <t>イベントCG: EVCG2_m</t>
  </si>
  <si>
    <t>EVCG2_m.png</t>
  </si>
  <si>
    <t>cg_evcg2_morning_01</t>
  </si>
  <si>
    <t>Resource/image/EVCG2_m.png</t>
  </si>
  <si>
    <t>Horage/Assets/Resources/CG/EVCG2_m.png</t>
  </si>
  <si>
    <t>kimikoi_title</t>
  </si>
  <si>
    <t>UI素材: kimikoi_title</t>
  </si>
  <si>
    <t>2026-04-30</t>
  </si>
  <si>
    <t>kimikoi_title.png</t>
  </si>
  <si>
    <t>ui_kimikoi_title_logo</t>
  </si>
  <si>
    <t>Resource/image/kimikoi_title.png</t>
  </si>
  <si>
    <t>Horage/Assets/Resources/Kimikoi/kimikoi_title.png</t>
  </si>
  <si>
    <t>デスクトップPrefab（KimikoiWindow.prefab）</t>
  </si>
  <si>
    <t>kimikoi_title_configoff</t>
  </si>
  <si>
    <t>UI素材: kimikoi_title_configoff</t>
  </si>
  <si>
    <t>kimikoi_title_configoff.png</t>
  </si>
  <si>
    <t>ui_kimikoi_title_config_off</t>
  </si>
  <si>
    <t>Resource/image/kimikoi_title_configoff.png</t>
  </si>
  <si>
    <t>Horage/Assets/Resources/Kimikoi/kimikoi_title_config_off.png</t>
  </si>
  <si>
    <t>kimikoi_title_configon</t>
  </si>
  <si>
    <t>UI素材: kimikoi_title_configon</t>
  </si>
  <si>
    <t>kimikoi_title_configon.png</t>
  </si>
  <si>
    <t>ui_kimikoi_title_config_on</t>
  </si>
  <si>
    <t>Resource/image/kimikoi_title_configon.png</t>
  </si>
  <si>
    <t>Horage/Assets/Resources/Kimikoi/kimikoi_title_config_on.png</t>
  </si>
  <si>
    <t>kimikoi_title_exitoff</t>
  </si>
  <si>
    <t>UI素材: kimikoi_title_exitoff</t>
  </si>
  <si>
    <t>kimikoi_title_exitoff.png</t>
  </si>
  <si>
    <t>ui_kimikoi_title_exit_off</t>
  </si>
  <si>
    <t>Resource/image/kimikoi_title_exitoff.png</t>
  </si>
  <si>
    <t>Horage/Assets/Resources/Kimikoi/kimikoi_title_exit_off.png</t>
  </si>
  <si>
    <t>kimikoi_title_exiton</t>
  </si>
  <si>
    <t>UI素材: kimikoi_title_exiton</t>
  </si>
  <si>
    <t>kimikoi_title_exiton.png</t>
  </si>
  <si>
    <t>ui_kimikoi_title_exit_on</t>
  </si>
  <si>
    <t>Resource/image/kimikoi_title_exiton.png</t>
  </si>
  <si>
    <t>Horage/Assets/Resources/Kimikoi/kimikoi_title_exit_on.png</t>
  </si>
  <si>
    <t>kimikoi_title_startoff</t>
  </si>
  <si>
    <t>UI素材: kimikoi_title_startoff</t>
  </si>
  <si>
    <t>kimikoi_title_startoff.png</t>
  </si>
  <si>
    <t>ui_kimikoi_title_start_off</t>
  </si>
  <si>
    <t>Resource/image/kimikoi_title_startoff.png</t>
  </si>
  <si>
    <t>Horage/Assets/Resources/Kimikoi/kimikoi_title_start_off.png</t>
  </si>
  <si>
    <t>kimikoi_title_starton</t>
  </si>
  <si>
    <t>UI素材: kimikoi_title_starton</t>
  </si>
  <si>
    <t>kimikoi_title_starton.png</t>
  </si>
  <si>
    <t>ui_kimikoi_title_start_on</t>
  </si>
  <si>
    <t>Resource/image/kimikoi_title_starton.png</t>
  </si>
  <si>
    <t>Horage/Assets/Resources/Kimikoi/kimikoi_title_start_on.png</t>
  </si>
  <si>
    <t>kimikoi_titleback</t>
  </si>
  <si>
    <t>背景素材: kimikoi_titleback</t>
  </si>
  <si>
    <t>kimikoi_titleback.jpg</t>
  </si>
  <si>
    <t>bg_title_01</t>
  </si>
  <si>
    <t>Resource/image/kimikoi_titleback.jpg</t>
  </si>
  <si>
    <t>Horage/Assets/Resources/Reference/Kimikoi/Title/kimikoi_titleback.jpg / Horage/Assets/Resources/Kimikoi/kimikoi_titleback.png</t>
  </si>
  <si>
    <t>Unity側重複候補 2件</t>
  </si>
  <si>
    <t>lime_comment_me_1</t>
  </si>
  <si>
    <t>UI素材: lime_comment_me_1</t>
  </si>
  <si>
    <t>2026-05-01</t>
  </si>
  <si>
    <t>lime_comment_me_1.png</t>
  </si>
  <si>
    <t>ui_lime_comment_me_01</t>
  </si>
  <si>
    <t>Resource/image/LINE/lime_comment_me_1.png</t>
  </si>
  <si>
    <t>Horage/Assets/Resources/UI/LIME/lime_comment_me_1.png</t>
  </si>
  <si>
    <t>lime_comment_me_2</t>
  </si>
  <si>
    <t>UI素材: lime_comment_me_2</t>
  </si>
  <si>
    <t>lime_comment_me_2.png</t>
  </si>
  <si>
    <t>ui_lime_comment_me_02</t>
  </si>
  <si>
    <t>Resource/image/LINE/lime_comment_me_2.png</t>
  </si>
  <si>
    <t>Horage/Assets/Resources/UI/LIME/lime_comment_me_2.png</t>
  </si>
  <si>
    <t>デスクトップPrefab（LimeWindow.prefab）</t>
  </si>
  <si>
    <t>lime_comment_you_1</t>
  </si>
  <si>
    <t>UI素材: lime_comment_you_1</t>
  </si>
  <si>
    <t>lime_comment_you_1.png</t>
  </si>
  <si>
    <t>ui_lime_comment_you_01</t>
  </si>
  <si>
    <t>Resource/image/LINE/lime_comment_you_1.png</t>
  </si>
  <si>
    <t>Horage/Assets/Resources/UI/LIME/lime_comment_you_1.png</t>
  </si>
  <si>
    <t>lime_comment_you_2</t>
  </si>
  <si>
    <t>UI素材: lime_comment_you_2</t>
  </si>
  <si>
    <t>lime_comment_you_2.png</t>
  </si>
  <si>
    <t>ui_lime_comment_you_02</t>
  </si>
  <si>
    <t>Resource/image/LINE/lime_comment_you_2.png</t>
  </si>
  <si>
    <t>Horage/Assets/Resources/UI/LIME/lime_comment_you_2.png</t>
  </si>
  <si>
    <t>lime_icon_ootomo</t>
  </si>
  <si>
    <t>UI素材: lime_icon_ootomo</t>
  </si>
  <si>
    <t>lime_icon_ootomo.png</t>
  </si>
  <si>
    <t>ui_lime_icon_ootomo</t>
  </si>
  <si>
    <t>Resource/image/LINE/lime_icon_ootomo.png</t>
  </si>
  <si>
    <t>Horage/Assets/Resources/UI/LIME/lime_icon_ootomo.png</t>
  </si>
  <si>
    <t>デスクトップPrefab（DesktopNotificationRow_Lime.prefab）</t>
  </si>
  <si>
    <t>line_choice_1_off</t>
  </si>
  <si>
    <t>UI素材: line_choice_1_off</t>
  </si>
  <si>
    <t>line_choice_1_off.png</t>
  </si>
  <si>
    <t>ui_lime_choice_01_off</t>
  </si>
  <si>
    <t>Resource/image/LINE/line_choice_1_off.png</t>
  </si>
  <si>
    <t>Horage/Assets/Resources/UI/LIME/line_choice_1_off.png</t>
  </si>
  <si>
    <t>line_choice_1_on</t>
  </si>
  <si>
    <t>UI素材: line_choice_1_on</t>
  </si>
  <si>
    <t>line_choice_1_on.png</t>
  </si>
  <si>
    <t>ui_lime_choice_01_on</t>
  </si>
  <si>
    <t>Resource/image/LINE/line_choice_1_on.png</t>
  </si>
  <si>
    <t>Horage/Assets/Resources/UI/LIME/line_choice_1_on.png</t>
  </si>
  <si>
    <t>line_choice_2_off</t>
  </si>
  <si>
    <t>UI素材: line_choice_2_off</t>
  </si>
  <si>
    <t>line_choice_2_off.png</t>
  </si>
  <si>
    <t>ui_lime_choice_02_off</t>
  </si>
  <si>
    <t>Resource/image/LINE/line_choice_2_off.png</t>
  </si>
  <si>
    <t>Horage/Assets/Resources/UI/LIME/line_choice_2_off.png</t>
  </si>
  <si>
    <t>line_choice_2_on</t>
  </si>
  <si>
    <t>UI素材: line_choice_2_on</t>
  </si>
  <si>
    <t>line_choice_2_on.png</t>
  </si>
  <si>
    <t>ui_lime_choice_02_on</t>
  </si>
  <si>
    <t>Resource/image/LINE/line_choice_2_on.png</t>
  </si>
  <si>
    <t>Horage/Assets/Resources/UI/LIME/line_choice_2_on.png</t>
  </si>
  <si>
    <t>line_choice_base</t>
  </si>
  <si>
    <t>UI素材: line_choice_base</t>
  </si>
  <si>
    <t>line_choice_base.png</t>
  </si>
  <si>
    <t>ui_lime_choice_base</t>
  </si>
  <si>
    <t>Resource/image/LINE/line_choice_base.png</t>
  </si>
  <si>
    <t>Horage/Assets/Resources/UI/LIME/line_choice_base.png</t>
  </si>
  <si>
    <t>line_choice_decoration</t>
  </si>
  <si>
    <t>UI素材: line_choice_decoration</t>
  </si>
  <si>
    <t>line_choice_decoration.png</t>
  </si>
  <si>
    <t>ui_lime_choice_decoration</t>
  </si>
  <si>
    <t>Resource/image/LINE/line_choice_decoration.png</t>
  </si>
  <si>
    <t>Horage/Assets/Resources/UI/LIME/line_choice_decoration.png</t>
  </si>
  <si>
    <t>line_choice_input</t>
  </si>
  <si>
    <t>UI素材: line_choice_input</t>
  </si>
  <si>
    <t>line_choice_input.png</t>
  </si>
  <si>
    <t>ui_lime_choice_input</t>
  </si>
  <si>
    <t>Resource/image/LINE/line_choice_input.png</t>
  </si>
  <si>
    <t>Horage/Assets/Resources/UI/LIME/line_choice_input.png</t>
  </si>
  <si>
    <t>Mainシーンに直接参照</t>
  </si>
  <si>
    <t>line_choice_plane_off</t>
  </si>
  <si>
    <t>UI素材: line_choice_plane_off</t>
  </si>
  <si>
    <t>line_choice_plane_off.png</t>
  </si>
  <si>
    <t>ui_lime_choice_plane_off</t>
  </si>
  <si>
    <t>Resource/image/LINE/line_choice_plane_off.png</t>
  </si>
  <si>
    <t>Horage/Assets/Resources/UI/LIME/line_choice_plane_off.png</t>
  </si>
  <si>
    <t>line_choice_plane_on</t>
  </si>
  <si>
    <t>UI素材: line_choice_plane_on</t>
  </si>
  <si>
    <t>line_choice_plane_on.png</t>
  </si>
  <si>
    <t>ui_lime_choice_plane_on</t>
  </si>
  <si>
    <t>Resource/image/LINE/line_choice_plane_on.png</t>
  </si>
  <si>
    <t>Horage/Assets/Resources/UI/LIME/line_choice_plane_on.png</t>
  </si>
  <si>
    <t>line_notification_ootomo</t>
  </si>
  <si>
    <t>UI素材: line_notification_ootomo</t>
  </si>
  <si>
    <t>line_notification_ootomo.png</t>
  </si>
  <si>
    <t>ui_lime_notification_ootomo</t>
  </si>
  <si>
    <t>Resource/image/LINE/line_notification_ootomo.png</t>
  </si>
  <si>
    <t>Horage/Assets/Resources/UI/LIME/line_notification_ootomo.png</t>
  </si>
  <si>
    <t>stamp_humu</t>
  </si>
  <si>
    <t>UI素材: stamp_humu</t>
  </si>
  <si>
    <t>stamp_humu.png</t>
  </si>
  <si>
    <t>ui_lime_stamp_humu</t>
  </si>
  <si>
    <t>Resource/image/LINE/stamp/stamp_humu.png</t>
  </si>
  <si>
    <t>Unity未取込のため未使用</t>
  </si>
  <si>
    <t>stamp_siteyattari</t>
  </si>
  <si>
    <t>UI素材: stamp_siteyattari</t>
  </si>
  <si>
    <t>stamp_siteyattari.png</t>
  </si>
  <si>
    <t>ui_lime_stamp_siteyattari</t>
  </si>
  <si>
    <t>Resource/image/LINE/stamp/stamp_siteyattari.png</t>
  </si>
  <si>
    <t>stamp_umu</t>
  </si>
  <si>
    <t>UI素材: stamp_umu</t>
  </si>
  <si>
    <t>stamp_umu.png</t>
  </si>
  <si>
    <t>ui_lime_stamp_umu</t>
  </si>
  <si>
    <t>Resource/image/LINE/stamp/stamp_umu.png</t>
  </si>
  <si>
    <t>stamp_utagai</t>
  </si>
  <si>
    <t>UI素材: stamp_utagai</t>
  </si>
  <si>
    <t>stamp_utagai.png</t>
  </si>
  <si>
    <t>ui_lime_stamp_utagai</t>
  </si>
  <si>
    <t>Resource/image/LINE/stamp/stamp_utagai.png</t>
  </si>
  <si>
    <t>window_lime</t>
  </si>
  <si>
    <t>UI素材: window_lime</t>
  </si>
  <si>
    <t>window_lime.png</t>
  </si>
  <si>
    <t>ui_lime_window_base</t>
  </si>
  <si>
    <t>Resource/image/LINE/window_lime.png</t>
  </si>
  <si>
    <t>Horage/Assets/Resources/UI/LIME/window_lime.png</t>
  </si>
  <si>
    <t>windowcontrol_lime_icon</t>
  </si>
  <si>
    <t>UI素材: windowcontrol_lime_icon</t>
  </si>
  <si>
    <t>windowcontrol_lime_icon.png</t>
  </si>
  <si>
    <t>ui_lime_windowcontrol_icon</t>
  </si>
  <si>
    <t>Resource/image/LINE/windowcontrol_lime_icon.png</t>
  </si>
  <si>
    <t>Horage/Assets/Resources/UI/LIME/windowcontrol_lime_icon.png</t>
  </si>
  <si>
    <t>デスクトップ設定（lime.asset）</t>
  </si>
  <si>
    <t>windowcontrol_lime_off</t>
  </si>
  <si>
    <t>UI素材: windowcontrol_lime_off</t>
  </si>
  <si>
    <t>windowcontrol_lime_off.png</t>
  </si>
  <si>
    <t>ui_lime_windowcontrol_off</t>
  </si>
  <si>
    <t>Resource/image/LINE/windowcontrol_lime_off.png</t>
  </si>
  <si>
    <t>Horage/Assets/Resources/UI/LIME/windowcontrol_lime_off.png</t>
  </si>
  <si>
    <t>windowcontrol_lime_on</t>
  </si>
  <si>
    <t>UI素材: windowcontrol_lime_on</t>
  </si>
  <si>
    <t>windowcontrol_lime_on.png</t>
  </si>
  <si>
    <t>ui_lime_windowcontrol_on</t>
  </si>
  <si>
    <t>Resource/image/LINE/windowcontrol_lime_on.png</t>
  </si>
  <si>
    <t>Horage/Assets/Resources/UI/LIME/windowcontrol_lime_on.png</t>
  </si>
  <si>
    <t>★完成図(ポップアップ)</t>
  </si>
  <si>
    <t>参考画像/完成図: ★完成図(ポップアップ)</t>
  </si>
  <si>
    <t>★完成図(ポップアップ).jpg</t>
  </si>
  <si>
    <t>ref_line_complete_01</t>
  </si>
  <si>
    <t>Resource/image/LINE/★完成図(ポップアップ).jpg</t>
  </si>
  <si>
    <t>Horage/Assets/Resources/Reference/LIME/★完成図(ポップアップ).jpg</t>
  </si>
  <si>
    <t>★完成図(選択肢)</t>
  </si>
  <si>
    <t>参考画像/完成図: ★完成図(選択肢)</t>
  </si>
  <si>
    <t>★完成図(選択肢).jpg</t>
  </si>
  <si>
    <t>Resource/image/LINE/★完成図(選択肢).jpg</t>
  </si>
  <si>
    <t>Horage/Assets/Resources/Reference/LIME/★完成図(選択肢).jpg</t>
  </si>
  <si>
    <t>★完成図</t>
  </si>
  <si>
    <t>参考画像/完成図: ★完成図</t>
  </si>
  <si>
    <t>★完成図.jpg</t>
  </si>
  <si>
    <t>Resource/image/LINE/★完成図.jpg</t>
  </si>
  <si>
    <t>Horage/Assets/Resources/Reference/LIME/★完成図.jpg / Horage/Assets/Resources/Reference/Desktop/★完成図.jpg / Horage/Assets/Resources/Reference/Kimikoi/Main/★完成図.jpg / Horage/Assets/Resources/Reference/Kimikoi/Main/ログ/★完成図.jpg ほか4件</t>
  </si>
  <si>
    <t>Unity側重複候補 8件</t>
  </si>
  <si>
    <t>kimikoi_config_base</t>
  </si>
  <si>
    <t>UI素材: kimikoi_config_base</t>
  </si>
  <si>
    <t>kimikoi_config_base.png</t>
  </si>
  <si>
    <t>ui_kimikoi_config_base</t>
  </si>
  <si>
    <t>Resource/image/キミコイコンフィグ画面/kimikoi_config_base.png</t>
  </si>
  <si>
    <t>Horage/Assets/Resources/Kimikoi/kimikoi_config_base.png</t>
  </si>
  <si>
    <t>デスクトップPrefab（KimikoiConfigPhase.prefab）</t>
  </si>
  <si>
    <t>kimikoi_config_cancel_off</t>
  </si>
  <si>
    <t>UI素材: kimikoi_config_cancel_off</t>
  </si>
  <si>
    <t>kimikoi_config_cancel_off.png</t>
  </si>
  <si>
    <t>ui_kimikoi_config_cancel_off</t>
  </si>
  <si>
    <t>Resource/image/キミコイコンフィグ画面/kimikoi_config_cancel_off.png</t>
  </si>
  <si>
    <t>Horage/Assets/Resources/Kimikoi/Config/kimikoi_config_cancel_off.png</t>
  </si>
  <si>
    <t>kimikoi_config_cancel_on</t>
  </si>
  <si>
    <t>UI素材: kimikoi_config_cancel_on</t>
  </si>
  <si>
    <t>kimikoi_config_cancel_on.png</t>
  </si>
  <si>
    <t>ui_kimikoi_config_cancel_on</t>
  </si>
  <si>
    <t>Resource/image/キミコイコンフィグ画面/kimikoi_config_cancel_on.png</t>
  </si>
  <si>
    <t>Horage/Assets/Resources/Kimikoi/Config/kimikoi_config_cancel_on.png</t>
  </si>
  <si>
    <t>kimikoi_config_checkbox_off</t>
  </si>
  <si>
    <t>UI素材: kimikoi_config_checkbox_off</t>
  </si>
  <si>
    <t>kimikoi_config_checkbox_off.png</t>
  </si>
  <si>
    <t>ui_kimikoi_config_checkbox_off</t>
  </si>
  <si>
    <t>Resource/image/キミコイコンフィグ画面/kimikoi_config_checkbox_off.png</t>
  </si>
  <si>
    <t>Horage/Assets/Resources/Kimikoi/Config/kimikoi_config_checkbox_off.png</t>
  </si>
  <si>
    <t>kimikoi_config_checkbox_on</t>
  </si>
  <si>
    <t>UI素材: kimikoi_config_checkbox_on</t>
  </si>
  <si>
    <t>kimikoi_config_checkbox_on.png</t>
  </si>
  <si>
    <t>ui_kimikoi_config_checkbox_on</t>
  </si>
  <si>
    <t>Resource/image/キミコイコンフィグ画面/kimikoi_config_checkbox_on.png</t>
  </si>
  <si>
    <t>Horage/Assets/Resources/Kimikoi/Config/kimikoi_config_checkbox_on.png</t>
  </si>
  <si>
    <t>kimikoi_config_cross_off</t>
  </si>
  <si>
    <t>UI素材: kimikoi_config_cross_off</t>
  </si>
  <si>
    <t>kimikoi_config_cross_off.png</t>
  </si>
  <si>
    <t>ui_kimikoi_config_cross_off</t>
  </si>
  <si>
    <t>Resource/image/キミコイコンフィグ画面/kimikoi_config_cross_off.png</t>
  </si>
  <si>
    <t>Horage/Assets/Resources/Kimikoi/Config/kimikoi_config_cross_off.png</t>
  </si>
  <si>
    <t>kimikoi_config_cross_on</t>
  </si>
  <si>
    <t>UI素材: kimikoi_config_cross_on</t>
  </si>
  <si>
    <t>kimikoi_config_cross_on.png</t>
  </si>
  <si>
    <t>ui_kimikoi_config_cross_on</t>
  </si>
  <si>
    <t>Resource/image/キミコイコンフィグ画面/kimikoi_config_cross_on.png</t>
  </si>
  <si>
    <t>Horage/Assets/Resources/Kimikoi/Config/kimikoi_config_cross_on.png</t>
  </si>
  <si>
    <t>kimikoi_config_ok_off</t>
  </si>
  <si>
    <t>UI素材: kimikoi_config_ok_off</t>
  </si>
  <si>
    <t>kimikoi_config_ok_off.png</t>
  </si>
  <si>
    <t>ui_kimikoi_config_ok_off</t>
  </si>
  <si>
    <t>Resource/image/キミコイコンフィグ画面/kimikoi_config_ok_off.png</t>
  </si>
  <si>
    <t>Horage/Assets/Resources/Kimikoi/Config/kimikoi_config_ok_off.png</t>
  </si>
  <si>
    <t>kimikoi_config_ok_on</t>
  </si>
  <si>
    <t>UI素材: kimikoi_config_ok_on</t>
  </si>
  <si>
    <t>kimikoi_config_ok_on.png</t>
  </si>
  <si>
    <t>ui_kimikoi_config_ok_on</t>
  </si>
  <si>
    <t>Resource/image/キミコイコンフィグ画面/kimikoi_config_ok_on.png</t>
  </si>
  <si>
    <t>Horage/Assets/Resources/Kimikoi/Config/kimikoi_config_ok_on.png</t>
  </si>
  <si>
    <t>kimikoi_config_slidebar_base</t>
  </si>
  <si>
    <t>UI素材: kimikoi_config_slidebar_base</t>
  </si>
  <si>
    <t>kimikoi_config_slidebar_base.png</t>
  </si>
  <si>
    <t>ui_kimikoi_config_slidebar_base</t>
  </si>
  <si>
    <t>Resource/image/キミコイコンフィグ画面/kimikoi_config_slidebar_base.png</t>
  </si>
  <si>
    <t>Horage/Assets/Resources/Kimikoi/Config/kimikoi_config_slidebar_base.png</t>
  </si>
  <si>
    <t>kimikoi_config_slidebar_handle</t>
  </si>
  <si>
    <t>UI素材: kimikoi_config_slidebar_handle</t>
  </si>
  <si>
    <t>kimikoi_config_slidebar_handle.png</t>
  </si>
  <si>
    <t>ui_kimikoi_config_slidebar_handle</t>
  </si>
  <si>
    <t>Resource/image/キミコイコンフィグ画面/kimikoi_config_slidebar_handle.png</t>
  </si>
  <si>
    <t>Horage/Assets/Resources/Kimikoi/Config/kimikoi_config_slidebar_handle.png</t>
  </si>
  <si>
    <t>kimikoi_config_slidebar_meter</t>
  </si>
  <si>
    <t>UI素材: kimikoi_config_slidebar_meter</t>
  </si>
  <si>
    <t>kimikoi_config_slidebar_meter.png</t>
  </si>
  <si>
    <t>ui_kimikoi_config_slidebar_meter</t>
  </si>
  <si>
    <t>Resource/image/キミコイコンフィグ画面/kimikoi_config_slidebar_meter.png</t>
  </si>
  <si>
    <t>Horage/Assets/Resources/Kimikoi/Config/kimikoi_config_slidebar_meter.png</t>
  </si>
  <si>
    <t>★完成図.png</t>
  </si>
  <si>
    <t>ref_kimikoiconfig_complete_01</t>
  </si>
  <si>
    <t>Resource/image/キミコイコンフィグ画面/★完成図.png</t>
  </si>
  <si>
    <t>Horage/Assets/Resources/Reference/Kimikoi/Config/★完成図.png / Horage/Assets/Resources/Reference/Desktop/★完成図.jpg / Horage/Assets/Resources/Reference/Kimikoi/Main/★完成図.jpg / Horage/Assets/Resources/Reference/Kimikoi/Main/ログ/★完成図.jpg ほか4件</t>
  </si>
  <si>
    <t>Resource/image/キミコイタイトル画面/kimikoi_title.png</t>
  </si>
  <si>
    <t>kimikoi_title_config_off</t>
  </si>
  <si>
    <t>UI素材: kimikoi_title_config_off</t>
  </si>
  <si>
    <t>kimikoi_title_config_off.png</t>
  </si>
  <si>
    <t>Resource/image/キミコイタイトル画面/kimikoi_title_config_off.png</t>
  </si>
  <si>
    <t>kimikoi_title_config_on</t>
  </si>
  <si>
    <t>UI素材: kimikoi_title_config_on</t>
  </si>
  <si>
    <t>kimikoi_title_config_on.png</t>
  </si>
  <si>
    <t>Resource/image/キミコイタイトル画面/kimikoi_title_config_on.png</t>
  </si>
  <si>
    <t>kimikoi_title_exit_off</t>
  </si>
  <si>
    <t>UI素材: kimikoi_title_exit_off</t>
  </si>
  <si>
    <t>kimikoi_title_exit_off.png</t>
  </si>
  <si>
    <t>Resource/image/キミコイタイトル画面/kimikoi_title_exit_off.png</t>
  </si>
  <si>
    <t>kimikoi_title_exit_on</t>
  </si>
  <si>
    <t>UI素材: kimikoi_title_exit_on</t>
  </si>
  <si>
    <t>kimikoi_title_exit_on.png</t>
  </si>
  <si>
    <t>Resource/image/キミコイタイトル画面/kimikoi_title_exit_on.png</t>
  </si>
  <si>
    <t>kimikoi_title_start_off</t>
  </si>
  <si>
    <t>UI素材: kimikoi_title_start_off</t>
  </si>
  <si>
    <t>kimikoi_title_start_off.png</t>
  </si>
  <si>
    <t>Resource/image/キミコイタイトル画面/kimikoi_title_start_off.png</t>
  </si>
  <si>
    <t>kimikoi_title_start_on</t>
  </si>
  <si>
    <t>UI素材: kimikoi_title_start_on</t>
  </si>
  <si>
    <t>kimikoi_title_start_on.png</t>
  </si>
  <si>
    <t>Resource/image/キミコイタイトル画面/kimikoi_title_start_on.png</t>
  </si>
  <si>
    <t>kimikoi_titleback.png</t>
  </si>
  <si>
    <t>Resource/image/キミコイタイトル画面/kimikoi_titleback.png</t>
  </si>
  <si>
    <t>Horage/Assets/Resources/Kimikoi/kimikoi_titleback.png / Horage/Assets/Resources/Reference/Kimikoi/Title/kimikoi_titleback.jpg</t>
  </si>
  <si>
    <t>ref_kimikoititle_complete_01</t>
  </si>
  <si>
    <t>Resource/image/キミコイタイトル画面/★完成図.jpg</t>
  </si>
  <si>
    <t>Horage/Assets/Resources/Reference/Kimikoi/Title/★完成図.jpg / Horage/Assets/Resources/Reference/Desktop/★完成図.jpg / Horage/Assets/Resources/Reference/Kimikoi/Main/★完成図.jpg / Horage/Assets/Resources/Reference/Kimikoi/Main/ログ/★完成図.jpg ほか4件</t>
  </si>
  <si>
    <t>kimikoi_background_classroom</t>
  </si>
  <si>
    <t>背景素材: kimikoi_background_classroom</t>
  </si>
  <si>
    <t>kimikoi_background_classroom.png</t>
  </si>
  <si>
    <t>bg_classroom_01</t>
  </si>
  <si>
    <t>Resource/image/キミコイ基本画面/kimikoi_background_classroom.png</t>
  </si>
  <si>
    <t>Horage/Assets/Resources/Kimikoi/BG/kimikoi_background_classroom.png</t>
  </si>
  <si>
    <t>キミコイADVの背景（kimikoi_background_classroom、KimikoiAdvBackgroundData.asset）</t>
  </si>
  <si>
    <t>kimikoi_background_clothingstore</t>
  </si>
  <si>
    <t>背景素材: kimikoi_background_clothingstore</t>
  </si>
  <si>
    <t>kimikoi_background_clothingstore.png</t>
  </si>
  <si>
    <t>bg_clothingstore_01</t>
  </si>
  <si>
    <t>Resource/image/キミコイ基本画面/kimikoi_background_clothingstore.png</t>
  </si>
  <si>
    <t>Horage/Assets/Resources/Kimikoi/BG/kimikoi_background_clothingstore.png</t>
  </si>
  <si>
    <t>キミコイADVの背景（kimikoi_background_clothingstore、master_scenario_03_初回DAY３.csv 26行目）</t>
  </si>
  <si>
    <t>kimikoi_background_downtownarea</t>
  </si>
  <si>
    <t>背景素材: kimikoi_background_downtownarea</t>
  </si>
  <si>
    <t>kimikoi_background_downtownarea.png</t>
  </si>
  <si>
    <t>bg_downtownarea_01</t>
  </si>
  <si>
    <t>Resource/image/キミコイ基本画面/kimikoi_background_downtownarea.png</t>
  </si>
  <si>
    <t>Horage/Assets/Resources/Kimikoi/BG/kimikoi_background_downtownarea.png</t>
  </si>
  <si>
    <t>キミコイADVの背景（kimikoi_background_downtownarea、KimikoiAdvBackgroundData.asset）</t>
  </si>
  <si>
    <t>kimikoi_background_entrance</t>
  </si>
  <si>
    <t>背景素材: kimikoi_background_entrance</t>
  </si>
  <si>
    <t>kimikoi_background_entrance.png</t>
  </si>
  <si>
    <t>bg_entrance_01</t>
  </si>
  <si>
    <t>Resource/image/キミコイ基本画面/kimikoi_background_entrance.png</t>
  </si>
  <si>
    <t>Horage/Assets/Resources/Kimikoi/BG/kimikoi_background_entrance.png</t>
  </si>
  <si>
    <t>キミコイADVの背景（kimikoi_background_entrance、KimikoiAdvBackgroundData.asset）</t>
  </si>
  <si>
    <t>kimikoi_background_residentialarea_e</t>
  </si>
  <si>
    <t>背景素材: kimikoi_background_residentialarea_e</t>
  </si>
  <si>
    <t>kimikoi_background_residentialarea_e.png</t>
  </si>
  <si>
    <t>bg_residentialarea_evening_01</t>
  </si>
  <si>
    <t>Resource/image/キミコイ基本画面/kimikoi_background_residentialarea_e.png</t>
  </si>
  <si>
    <t>Horage/Assets/Resources/Kimikoi/BG/kimikoi_background_residentialarea_e.png</t>
  </si>
  <si>
    <t>キミコイADVの背景（kimikoi_background_residentialarea_e、KimikoiAdvBackgroundData.asset）</t>
  </si>
  <si>
    <t>kimikoi_background_residentialarea_m</t>
  </si>
  <si>
    <t>背景素材: kimikoi_background_residentialarea_m</t>
  </si>
  <si>
    <t>kimikoi_background_residentialarea_m.png</t>
  </si>
  <si>
    <t>bg_residentialarea_morning_01</t>
  </si>
  <si>
    <t>Resource/image/キミコイ基本画面/kimikoi_background_residentialarea_m.png</t>
  </si>
  <si>
    <t>Horage/Assets/Resources/Kimikoi/BG/kimikoi_background_residentialarea_m.png</t>
  </si>
  <si>
    <t>キミコイADVの背景（kimikoi_background_residentialarea_m、KimikoiAdvBackgroundData.asset）</t>
  </si>
  <si>
    <t>kimikoi_background_room</t>
  </si>
  <si>
    <t>背景素材: kimikoi_background_room</t>
  </si>
  <si>
    <t>kimikoi_background_room.png</t>
  </si>
  <si>
    <t>bg_room_01</t>
  </si>
  <si>
    <t>Resource/image/キミコイ基本画面/kimikoi_background_room.png</t>
  </si>
  <si>
    <t>Horage/Assets/Resources/Kimikoi/BG/kimikoi_background_room.png</t>
  </si>
  <si>
    <t>キミコイADVの背景（kimikoi_background_room、KimikoiAdvBackgroundData.asset）</t>
  </si>
  <si>
    <t>kimikoi_background_sea_e</t>
  </si>
  <si>
    <t>背景素材: kimikoi_background_sea_e</t>
  </si>
  <si>
    <t>kimikoi_background_sea_e.png</t>
  </si>
  <si>
    <t>bg_sea_evening_01</t>
  </si>
  <si>
    <t>Resource/image/キミコイ基本画面/kimikoi_background_sea_e.png</t>
  </si>
  <si>
    <t>Horage/Assets/Resources/Kimikoi/BG/kimikoi_background_sea_e.png</t>
  </si>
  <si>
    <t>キミコイADVの背景（kimikoi_background_sea_e、KimikoiAdvBackgroundData.asset）</t>
  </si>
  <si>
    <t>kimikoi_background_sea_m</t>
  </si>
  <si>
    <t>背景素材: kimikoi_background_sea_m</t>
  </si>
  <si>
    <t>kimikoi_background_sea_m.png</t>
  </si>
  <si>
    <t>bg_sea_morning_01</t>
  </si>
  <si>
    <t>Resource/image/キミコイ基本画面/kimikoi_background_sea_m.png</t>
  </si>
  <si>
    <t>Horage/Assets/Resources/Kimikoi/BG/kimikoi_background_sea_m.png</t>
  </si>
  <si>
    <t>キミコイADVの背景（kimikoi_background_sea_m、KimikoiAdvBackgroundData.asset）</t>
  </si>
  <si>
    <t>kimikoi_background_shrine_m</t>
  </si>
  <si>
    <t>背景素材: kimikoi_background_shrine_m</t>
  </si>
  <si>
    <t>kimikoi_background_shrine_m.png</t>
  </si>
  <si>
    <t>bg_shrine_morning_01</t>
  </si>
  <si>
    <t>Resource/image/キミコイ基本画面/kimikoi_background_shrine_m.png</t>
  </si>
  <si>
    <t>Horage/Assets/Resources/Kimikoi/BG/kimikoi_background_shrine_m.png</t>
  </si>
  <si>
    <t>キミコイADVの背景（kimikoi_background_shrine_m、KimikoiAdvBackgroundData.asset）</t>
  </si>
  <si>
    <t>kimikoi_day1</t>
  </si>
  <si>
    <t>UI素材: kimikoi_day1</t>
  </si>
  <si>
    <t>kimikoi_day1.png</t>
  </si>
  <si>
    <t>ui_kimikoi_day_01</t>
  </si>
  <si>
    <t>Resource/image/キミコイ基本画面/kimikoi_day1.png</t>
  </si>
  <si>
    <t>Horage/Assets/Resources/Kimikoi/kimikoi_day1.png</t>
  </si>
  <si>
    <t>kimikoi_day10</t>
  </si>
  <si>
    <t>UI素材: kimikoi_day10</t>
  </si>
  <si>
    <t>kimikoi_day10.png</t>
  </si>
  <si>
    <t>ui_kimikoi_day_10</t>
  </si>
  <si>
    <t>Resource/image/キミコイ基本画面/kimikoi_day10.png</t>
  </si>
  <si>
    <t>Horage/Assets/Resources/Kimikoi/kimikoi_day10.png</t>
  </si>
  <si>
    <t>kimikoi_day2</t>
  </si>
  <si>
    <t>UI素材: kimikoi_day2</t>
  </si>
  <si>
    <t>kimikoi_day2.png</t>
  </si>
  <si>
    <t>ui_kimikoi_day_02</t>
  </si>
  <si>
    <t>Resource/image/キミコイ基本画面/kimikoi_day2.png</t>
  </si>
  <si>
    <t>Horage/Assets/Resources/Kimikoi/kimikoi_day2.png</t>
  </si>
  <si>
    <t>kimikoi_day3</t>
  </si>
  <si>
    <t>UI素材: kimikoi_day3</t>
  </si>
  <si>
    <t>kimikoi_day3.png</t>
  </si>
  <si>
    <t>ui_kimikoi_day_03</t>
  </si>
  <si>
    <t>Resource/image/キミコイ基本画面/kimikoi_day3.png</t>
  </si>
  <si>
    <t>Horage/Assets/Resources/Kimikoi/kimikoi_day3.png</t>
  </si>
  <si>
    <t>kimikoi_day4</t>
  </si>
  <si>
    <t>UI素材: kimikoi_day4</t>
  </si>
  <si>
    <t>kimikoi_day4.png</t>
  </si>
  <si>
    <t>ui_kimikoi_day_04</t>
  </si>
  <si>
    <t>Resource/image/キミコイ基本画面/kimikoi_day4.png</t>
  </si>
  <si>
    <t>Horage/Assets/Resources/Kimikoi/kimikoi_day4.png</t>
  </si>
  <si>
    <t>kimikoi_day5</t>
  </si>
  <si>
    <t>UI素材: kimikoi_day5</t>
  </si>
  <si>
    <t>kimikoi_day5.png</t>
  </si>
  <si>
    <t>ui_kimikoi_day_05</t>
  </si>
  <si>
    <t>Resource/image/キミコイ基本画面/kimikoi_day5.png</t>
  </si>
  <si>
    <t>Horage/Assets/Resources/Kimikoi/kimikoi_day5.png</t>
  </si>
  <si>
    <t>kimikoi_day6</t>
  </si>
  <si>
    <t>UI素材: kimikoi_day6</t>
  </si>
  <si>
    <t>kimikoi_day6.png</t>
  </si>
  <si>
    <t>ui_kimikoi_day_06</t>
  </si>
  <si>
    <t>Resource/image/キミコイ基本画面/kimikoi_day6.png</t>
  </si>
  <si>
    <t>Horage/Assets/Resources/Kimikoi/kimikoi_day6.png</t>
  </si>
  <si>
    <t>kimikoi_day7</t>
  </si>
  <si>
    <t>UI素材: kimikoi_day7</t>
  </si>
  <si>
    <t>kimikoi_day7.png</t>
  </si>
  <si>
    <t>ui_kimikoi_day_07</t>
  </si>
  <si>
    <t>Resource/image/キミコイ基本画面/kimikoi_day7.png</t>
  </si>
  <si>
    <t>Horage/Assets/Resources/Kimikoi/kimikoi_day7.png</t>
  </si>
  <si>
    <t>kimikoi_day8</t>
  </si>
  <si>
    <t>UI素材: kimikoi_day8</t>
  </si>
  <si>
    <t>kimikoi_day8.png</t>
  </si>
  <si>
    <t>ui_kimikoi_day_08</t>
  </si>
  <si>
    <t>Resource/image/キミコイ基本画面/kimikoi_day8.png</t>
  </si>
  <si>
    <t>Horage/Assets/Resources/Kimikoi/kimikoi_day8.png</t>
  </si>
  <si>
    <t>kimikoi_day9</t>
  </si>
  <si>
    <t>UI素材: kimikoi_day9</t>
  </si>
  <si>
    <t>kimikoi_day9.png</t>
  </si>
  <si>
    <t>ui_kimikoi_day_09</t>
  </si>
  <si>
    <t>Resource/image/キミコイ基本画面/kimikoi_day9.png</t>
  </si>
  <si>
    <t>Horage/Assets/Resources/Kimikoi/kimikoi_day9.png</t>
  </si>
  <si>
    <t>kimikoi_day_base</t>
  </si>
  <si>
    <t>UI素材: kimikoi_day_base</t>
  </si>
  <si>
    <t>kimikoi_day_base.png</t>
  </si>
  <si>
    <t>ui_kimikoi_day_base</t>
  </si>
  <si>
    <t>Resource/image/キミコイ基本画面/kimikoi_day_base.png</t>
  </si>
  <si>
    <t>Horage/Assets/Resources/Kimikoi/kimikoi_day_base.png</t>
  </si>
  <si>
    <t>Data/Kimikoi/KimikoiAdvGlitchNoiseSpriteData.asset</t>
  </si>
  <si>
    <t>kimikoi_log_off</t>
  </si>
  <si>
    <t>UI素材: kimikoi_log_off</t>
  </si>
  <si>
    <t>kimikoi_log_off.png</t>
  </si>
  <si>
    <t>ui_kimikoi_log_off</t>
  </si>
  <si>
    <t>Resource/image/キミコイ基本画面/kimikoi_log_off.png</t>
  </si>
  <si>
    <t>Horage/Assets/Resources/Kimikoi/kimikoi_log_off.png</t>
  </si>
  <si>
    <t>kimikoi_log_on</t>
  </si>
  <si>
    <t>UI素材: kimikoi_log_on</t>
  </si>
  <si>
    <t>kimikoi_log_on.png</t>
  </si>
  <si>
    <t>ui_kimikoi_log_on</t>
  </si>
  <si>
    <t>Resource/image/キミコイ基本画面/kimikoi_log_on.png</t>
  </si>
  <si>
    <t>Horage/Assets/Resources/Kimikoi/kimikoi_log_on.png</t>
  </si>
  <si>
    <t>kimikoi_messagewindow</t>
  </si>
  <si>
    <t>UI素材: kimikoi_messagewindow</t>
  </si>
  <si>
    <t>kimikoi_messagewindow.png</t>
  </si>
  <si>
    <t>ui_kimikoi_messagewindow</t>
  </si>
  <si>
    <t>Resource/image/キミコイ基本画面/kimikoi_messagewindow.png</t>
  </si>
  <si>
    <t>Horage/Assets/Resources/Kimikoi/kimikoi_messagewindow.png</t>
  </si>
  <si>
    <t>kimikoi_miyu_seifuku</t>
  </si>
  <si>
    <t>キャラクター/妹・美結素材: kimikoi_miyu_seifuku</t>
  </si>
  <si>
    <t>kimikoi_miyu_seifuku.png</t>
  </si>
  <si>
    <t>chara_miyu_01_01</t>
  </si>
  <si>
    <t>Resource/image/キミコイ基本画面/kimikoi_miyu_seifuku.png</t>
  </si>
  <si>
    <t>Horage/Assets/Resources/Kimikoi/kimikoi_miyu_seifuku.png</t>
  </si>
  <si>
    <t>kimikoi_namewindow</t>
  </si>
  <si>
    <t>UI素材: kimikoi_namewindow</t>
  </si>
  <si>
    <t>kimikoi_namewindow.png</t>
  </si>
  <si>
    <t>ui_kimikoi_namewindow</t>
  </si>
  <si>
    <t>Resource/image/キミコイ基本画面/kimikoi_namewindow.png</t>
  </si>
  <si>
    <t>Horage/Assets/Resources/Kimikoi/kimikoi_namewindow.png</t>
  </si>
  <si>
    <t>kimikoi_place_classroom</t>
  </si>
  <si>
    <t>UI素材: kimikoi_place_classroom</t>
  </si>
  <si>
    <t>kimikoi_place_classroom.png</t>
  </si>
  <si>
    <t>ui_kimikoi_place_classroom</t>
  </si>
  <si>
    <t>Resource/image/キミコイ基本画面/kimikoi_place_classroom.png</t>
  </si>
  <si>
    <t>Horage/Assets/Resources/Kimikoi/kimikoi_place_classroom.png</t>
  </si>
  <si>
    <t>kimikoi_place_downtownarea</t>
  </si>
  <si>
    <t>UI素材: kimikoi_place_downtownarea</t>
  </si>
  <si>
    <t>kimikoi_place_downtownarea.png</t>
  </si>
  <si>
    <t>ui_kimikoi_place_downtownarea</t>
  </si>
  <si>
    <t>Resource/image/キミコイ基本画面/kimikoi_place_downtownarea.png</t>
  </si>
  <si>
    <t>Horage/Assets/Resources/Kimikoi/kimikoi_place_downtownarea.png</t>
  </si>
  <si>
    <t>kimikoi_place_entrance</t>
  </si>
  <si>
    <t>UI素材: kimikoi_place_entrance</t>
  </si>
  <si>
    <t>kimikoi_place_entrance.png</t>
  </si>
  <si>
    <t>ui_kimikoi_place_entrance</t>
  </si>
  <si>
    <t>Resource/image/キミコイ基本画面/kimikoi_place_entrance.png</t>
  </si>
  <si>
    <t>Horage/Assets/Resources/Kimikoi/kimikoi_place_entrance.png</t>
  </si>
  <si>
    <t>kimikoi_place_residentialarea</t>
  </si>
  <si>
    <t>UI素材: kimikoi_place_residentialarea</t>
  </si>
  <si>
    <t>kimikoi_place_residentialarea.png</t>
  </si>
  <si>
    <t>ui_kimikoi_place_residentialarea</t>
  </si>
  <si>
    <t>Resource/image/キミコイ基本画面/kimikoi_place_residentialarea.png</t>
  </si>
  <si>
    <t>Horage/Assets/Resources/Kimikoi/kimikoi_place_residentialarea.png</t>
  </si>
  <si>
    <t>kimikoi_place_room</t>
  </si>
  <si>
    <t>UI素材: kimikoi_place_room</t>
  </si>
  <si>
    <t>kimikoi_place_room.png</t>
  </si>
  <si>
    <t>ui_kimikoi_place_room</t>
  </si>
  <si>
    <t>Resource/image/キミコイ基本画面/kimikoi_place_room.png</t>
  </si>
  <si>
    <t>Horage/Assets/Resources/Kimikoi/kimikoi_place_room.png</t>
  </si>
  <si>
    <t>kimikoi_place_sea</t>
  </si>
  <si>
    <t>UI素材: kimikoi_place_sea</t>
  </si>
  <si>
    <t>kimikoi_place_sea.png</t>
  </si>
  <si>
    <t>ui_kimikoi_place_sea</t>
  </si>
  <si>
    <t>Resource/image/キミコイ基本画面/kimikoi_place_sea.png</t>
  </si>
  <si>
    <t>Horage/Assets/Resources/Kimikoi/kimikoi_place_sea.png</t>
  </si>
  <si>
    <t>kimikoi_place_shrine</t>
  </si>
  <si>
    <t>UI素材: kimikoi_place_shrine</t>
  </si>
  <si>
    <t>kimikoi_place_shrine.png</t>
  </si>
  <si>
    <t>ui_kimikoi_place_shrine</t>
  </si>
  <si>
    <t>Resource/image/キミコイ基本画面/kimikoi_place_shrine.png</t>
  </si>
  <si>
    <t>Horage/Assets/Resources/Kimikoi/kimikoi_place_shrine.png</t>
  </si>
  <si>
    <t>kimikoi_placei_clothingstore</t>
  </si>
  <si>
    <t>UI素材: kimikoi_placei_clothingstore</t>
  </si>
  <si>
    <t>kimikoi_placei_clothingstore.png</t>
  </si>
  <si>
    <t>ui_kimikoi_place_clothingstore</t>
  </si>
  <si>
    <t>Resource/image/キミコイ基本画面/kimikoi_placei_clothingstore.png</t>
  </si>
  <si>
    <t>Horage/Assets/Resources/Kimikoi/kimikoi_place_clothingstore.png</t>
  </si>
  <si>
    <t>kimikoi_skip_off</t>
  </si>
  <si>
    <t>UI素材: kimikoi_skip_off</t>
  </si>
  <si>
    <t>kimikoi_skip_off.png</t>
  </si>
  <si>
    <t>ui_kimikoi_skip_off</t>
  </si>
  <si>
    <t>Resource/image/キミコイ基本画面/kimikoi_skip_off.png</t>
  </si>
  <si>
    <t>Horage/Assets/Resources/Kimikoi/kimikoi_skip_off.png</t>
  </si>
  <si>
    <t>kimikoi_skip_on</t>
  </si>
  <si>
    <t>UI素材: kimikoi_skip_on</t>
  </si>
  <si>
    <t>kimikoi_skip_on.png</t>
  </si>
  <si>
    <t>ui_kimikoi_skip_on</t>
  </si>
  <si>
    <t>Resource/image/キミコイ基本画面/kimikoi_skip_on.png</t>
  </si>
  <si>
    <t>Horage/Assets/Resources/Kimikoi/kimikoi_skip_on.png</t>
  </si>
  <si>
    <t>kimikoi_slidebar_base</t>
  </si>
  <si>
    <t>UI素材: kimikoi_slidebar_base</t>
  </si>
  <si>
    <t>kimikoi_slidebar_base.png</t>
  </si>
  <si>
    <t>ui_kimikoi_slidebar_base</t>
  </si>
  <si>
    <t>Resource/image/キミコイ基本画面/kimikoi_slidebar_base.png</t>
  </si>
  <si>
    <t>Horage/Assets/Resources/Kimikoi/kimikoi_slidebar_base.png / Horage/Assets/Resources/Sister/kimikoi_slidebar_base.png</t>
  </si>
  <si>
    <t>kimikoi_slidebar_meter</t>
  </si>
  <si>
    <t>UI素材: kimikoi_slidebar_meter</t>
  </si>
  <si>
    <t>kimikoi_slidebar_meter.png</t>
  </si>
  <si>
    <t>ui_kimikoi_slidebar_meter</t>
  </si>
  <si>
    <t>Resource/image/キミコイ基本画面/kimikoi_slidebar_meter.png</t>
  </si>
  <si>
    <t>Horage/Assets/Resources/Kimikoi/kimikoi_slidebar_meter.png / Horage/Assets/Resources/Sister/kimikoi_slidebar_meter.png</t>
  </si>
  <si>
    <t>kimikoi_week_fri</t>
  </si>
  <si>
    <t>UI素材: kimikoi_week_fri</t>
  </si>
  <si>
    <t>kimikoi_week_fri.png</t>
  </si>
  <si>
    <t>ui_kimikoi_week_fri</t>
  </si>
  <si>
    <t>Resource/image/キミコイ基本画面/kimikoi_week_fri.png</t>
  </si>
  <si>
    <t>Horage/Assets/Resources/Kimikoi/kimikoi_week_fri.png</t>
  </si>
  <si>
    <t>kimikoi_week_mon</t>
  </si>
  <si>
    <t>UI素材: kimikoi_week_mon</t>
  </si>
  <si>
    <t>kimikoi_week_mon.png</t>
  </si>
  <si>
    <t>ui_kimikoi_week_mon</t>
  </si>
  <si>
    <t>Resource/image/キミコイ基本画面/kimikoi_week_mon.png</t>
  </si>
  <si>
    <t>Horage/Assets/Resources/Kimikoi/kimikoi_week_mon.png</t>
  </si>
  <si>
    <t>kimikoi_week_sat</t>
  </si>
  <si>
    <t>UI素材: kimikoi_week_sat</t>
  </si>
  <si>
    <t>kimikoi_week_sat.png</t>
  </si>
  <si>
    <t>ui_kimikoi_week_sat</t>
  </si>
  <si>
    <t>Resource/image/キミコイ基本画面/kimikoi_week_sat.png</t>
  </si>
  <si>
    <t>Horage/Assets/Resources/Kimikoi/kimikoi_week_sat.png</t>
  </si>
  <si>
    <t>kimikoi_week_sun</t>
  </si>
  <si>
    <t>UI素材: kimikoi_week_sun</t>
  </si>
  <si>
    <t>kimikoi_week_sun.png</t>
  </si>
  <si>
    <t>ui_kimikoi_week_sun</t>
  </si>
  <si>
    <t>Resource/image/キミコイ基本画面/kimikoi_week_sun.png</t>
  </si>
  <si>
    <t>Horage/Assets/Resources/Kimikoi/kimikoi_week_sun.png</t>
  </si>
  <si>
    <t>kimikoi_week_thu</t>
  </si>
  <si>
    <t>UI素材: kimikoi_week_thu</t>
  </si>
  <si>
    <t>kimikoi_week_thu.png</t>
  </si>
  <si>
    <t>ui_kimikoi_week_thu</t>
  </si>
  <si>
    <t>Resource/image/キミコイ基本画面/kimikoi_week_thu.png</t>
  </si>
  <si>
    <t>Horage/Assets/Resources/Kimikoi/kimikoi_week_thu.png</t>
  </si>
  <si>
    <t>kimikoi_week_tue</t>
  </si>
  <si>
    <t>UI素材: kimikoi_week_tue</t>
  </si>
  <si>
    <t>kimikoi_week_tue.png</t>
  </si>
  <si>
    <t>ui_kimikoi_week_tue</t>
  </si>
  <si>
    <t>Resource/image/キミコイ基本画面/kimikoi_week_tue.png</t>
  </si>
  <si>
    <t>Horage/Assets/Resources/Kimikoi/kimikoi_week_tue.png</t>
  </si>
  <si>
    <t>kimikoi_week_web</t>
  </si>
  <si>
    <t>UI素材: kimikoi_week_web</t>
  </si>
  <si>
    <t>kimikoi_week_web.png</t>
  </si>
  <si>
    <t>ui_kimikoi_week_wed</t>
  </si>
  <si>
    <t>Resource/image/キミコイ基本画面/kimikoi_week_web.png</t>
  </si>
  <si>
    <t>Horage/Assets/Resources/Kimikoi/kimikoi_week_web.png</t>
  </si>
  <si>
    <t>window_kimikoi_whiteborder</t>
  </si>
  <si>
    <t>UI素材: window_kimikoi_whiteborder</t>
  </si>
  <si>
    <t>window_kimikoi_whiteborder.png</t>
  </si>
  <si>
    <t>ui_kimikoi_window_frame_01</t>
  </si>
  <si>
    <t>Resource/image/キミコイ基本画面/window_kimikoi_whiteborder.png</t>
  </si>
  <si>
    <t>Horage/Assets/Resources/Kimikoi/window_kimikoi_whiteborder.png</t>
  </si>
  <si>
    <t>windowcontrol_cross_off</t>
  </si>
  <si>
    <t>UI素材: windowcontrol_cross_off</t>
  </si>
  <si>
    <t>windowcontrol_cross_off.png</t>
  </si>
  <si>
    <t>ui_kimikoi_windowcontrol_cross_off</t>
  </si>
  <si>
    <t>Resource/image/キミコイ基本画面/windowcontrol_cross_off.png</t>
  </si>
  <si>
    <t>Horage/Assets/Resources/Kimikoi/windowcontrol_cross_off.png</t>
  </si>
  <si>
    <t>デスクトップPrefab（DesktopNotificationRow_Dark.prefab）</t>
  </si>
  <si>
    <t>windowcontrol_cross_on</t>
  </si>
  <si>
    <t>UI素材: windowcontrol_cross_on</t>
  </si>
  <si>
    <t>windowcontrol_cross_on.png</t>
  </si>
  <si>
    <t>ui_kimikoi_windowcontrol_cross_on</t>
  </si>
  <si>
    <t>Resource/image/キミコイ基本画面/windowcontrol_cross_on.png</t>
  </si>
  <si>
    <t>Horage/Assets/Resources/Kimikoi/windowcontrol_cross_on.png</t>
  </si>
  <si>
    <t>windowcontrol_kimikoi_icon</t>
  </si>
  <si>
    <t>UI素材: windowcontrol_kimikoi_icon</t>
  </si>
  <si>
    <t>windowcontrol_kimikoi_icon.png</t>
  </si>
  <si>
    <t>ui_kimikoi_windowcontrol_kimikoi_icon</t>
  </si>
  <si>
    <t>Resource/image/キミコイ基本画面/windowcontrol_kimikoi_icon.png</t>
  </si>
  <si>
    <t>Horage/Assets/Resources/Kimikoi/windowcontrol_kimikoi_icon.png</t>
  </si>
  <si>
    <t>デスクトップ設定（kimikoi.asset）</t>
  </si>
  <si>
    <t>windowcontrol_kimikoi_off</t>
  </si>
  <si>
    <t>UI素材: windowcontrol_kimikoi_off</t>
  </si>
  <si>
    <t>windowcontrol_kimikoi_off.png</t>
  </si>
  <si>
    <t>ui_kimikoi_windowcontrol_kimikoi_off</t>
  </si>
  <si>
    <t>Resource/image/キミコイ基本画面/windowcontrol_kimikoi_off.png</t>
  </si>
  <si>
    <t>Horage/Assets/Resources/Kimikoi/windowcontrol_kimikoi_off.png</t>
  </si>
  <si>
    <t>windowcontrol_kimikoi_on</t>
  </si>
  <si>
    <t>UI素材: windowcontrol_kimikoi_on</t>
  </si>
  <si>
    <t>windowcontrol_kimikoi_on.png</t>
  </si>
  <si>
    <t>ui_kimikoi_windowcontrol_kimikoi_on</t>
  </si>
  <si>
    <t>Resource/image/キミコイ基本画面/windowcontrol_kimikoi_on.png</t>
  </si>
  <si>
    <t>Horage/Assets/Resources/Kimikoi/windowcontrol_kimikoi_on.png</t>
  </si>
  <si>
    <t>windowcontrol_underbar_off</t>
  </si>
  <si>
    <t>UI素材: windowcontrol_underbar_off</t>
  </si>
  <si>
    <t>windowcontrol_underbar_off.png</t>
  </si>
  <si>
    <t>ui_kimikoi_windowcontrol_underbar_off</t>
  </si>
  <si>
    <t>Resource/image/キミコイ基本画面/windowcontrol_underbar_off.png</t>
  </si>
  <si>
    <t>Horage/Assets/Resources/Kimikoi/windowcontrol_underbar_off.png</t>
  </si>
  <si>
    <t>windowcontrol_underbar_on</t>
  </si>
  <si>
    <t>UI素材: windowcontrol_underbar_on</t>
  </si>
  <si>
    <t>windowcontrol_underbar_on.png</t>
  </si>
  <si>
    <t>ui_kimikoi_windowcontrol_underbar_on</t>
  </si>
  <si>
    <t>Resource/image/キミコイ基本画面/windowcontrol_underbar_on.png</t>
  </si>
  <si>
    <t>Horage/Assets/Resources/Kimikoi/windowcontrol_underbar_on.png</t>
  </si>
  <si>
    <t>ref_kimikoimain_complete_01</t>
  </si>
  <si>
    <t>Resource/image/キミコイ基本画面/★完成図.jpg</t>
  </si>
  <si>
    <t>Horage/Assets/Resources/Reference/Kimikoi/Main/★完成図.jpg / Horage/Assets/Resources/Reference/Desktop/★完成図.jpg / Horage/Assets/Resources/Reference/Kimikoi/Main/ログ/★完成図.jpg / Horage/Assets/Resources/Reference/Kimikoi/Main/選択肢/★完成図.jpg ほか4件</t>
  </si>
  <si>
    <t>こもれび市の神社地図</t>
  </si>
  <si>
    <t>イベントCG: こもれび市の神社地図</t>
  </si>
  <si>
    <t>こもれび市の神社地図.png</t>
  </si>
  <si>
    <t>cg_shrine_map_01</t>
  </si>
  <si>
    <t>Resource/image/キミコイ基本画面/こもれび市の神社地図.png</t>
  </si>
  <si>
    <t>Horage/Assets/Resources/CG/こもれび市の神社地図.png</t>
  </si>
  <si>
    <t>kimikoi_completion_off</t>
  </si>
  <si>
    <t>UI素材: kimikoi_completion_off</t>
  </si>
  <si>
    <t>kimikoi_completion_off.png</t>
  </si>
  <si>
    <t>ui_kimikoi_dialog_completion_off</t>
  </si>
  <si>
    <t>Resource/image/キミコイ基本画面/ダイアログボックス/kimikoi_completion_off.png</t>
  </si>
  <si>
    <t>Horage/Assets/Resources/Kimikoi/kimikoi_completion_off.png</t>
  </si>
  <si>
    <t>デスクトップPrefab（KimikoiAdvNameInputDialog.prefab）</t>
  </si>
  <si>
    <t>kimikoi_completion_on</t>
  </si>
  <si>
    <t>UI素材: kimikoi_completion_on</t>
  </si>
  <si>
    <t>kimikoi_completion_on.png</t>
  </si>
  <si>
    <t>ui_kimikoi_dialog_completion_on</t>
  </si>
  <si>
    <t>Resource/image/キミコイ基本画面/ダイアログボックス/kimikoi_completion_on.png</t>
  </si>
  <si>
    <t>Horage/Assets/Resources/Kimikoi/kimikoi_completion_on.png</t>
  </si>
  <si>
    <t>kimikoi_dialogbox</t>
  </si>
  <si>
    <t>UI素材: kimikoi_dialogbox</t>
  </si>
  <si>
    <t>kimikoi_dialogbox.png</t>
  </si>
  <si>
    <t>ui_kimikoi_dialogbox</t>
  </si>
  <si>
    <t>Resource/image/キミコイ基本画面/ダイアログボックス/kimikoi_dialogbox.png</t>
  </si>
  <si>
    <t>Horage/Assets/Resources/Kimikoi/kimikoi_dialogbox.png</t>
  </si>
  <si>
    <t>kimikoi_namebox</t>
  </si>
  <si>
    <t>UI素材: kimikoi_namebox</t>
  </si>
  <si>
    <t>kimikoi_namebox.png</t>
  </si>
  <si>
    <t>ui_kimikoi_namebox</t>
  </si>
  <si>
    <t>Resource/image/キミコイ基本画面/ダイアログボックス/kimikoi_namebox.png</t>
  </si>
  <si>
    <t>Horage/Assets/Resources/Kimikoi/kimikoi_namebox.png</t>
  </si>
  <si>
    <t>kimikoi_no_off</t>
  </si>
  <si>
    <t>UI素材: kimikoi_no_off</t>
  </si>
  <si>
    <t>kimikoi_no_off.png</t>
  </si>
  <si>
    <t>ui_kimikoi_dialog_no_off</t>
  </si>
  <si>
    <t>Resource/image/キミコイ基本画面/ダイアログボックス/kimikoi_no_off.png</t>
  </si>
  <si>
    <t>Horage/Assets/Resources/Kimikoi/kimikoi_no_off.png</t>
  </si>
  <si>
    <t>デスクトップPrefab（KimikoiTitleExitDialog.prefab）</t>
  </si>
  <si>
    <t>kimikoi_no_on</t>
  </si>
  <si>
    <t>UI素材: kimikoi_no_on</t>
  </si>
  <si>
    <t>kimikoi_no_on.png</t>
  </si>
  <si>
    <t>ui_kimikoi_dialog_no_on</t>
  </si>
  <si>
    <t>Resource/image/キミコイ基本画面/ダイアログボックス/kimikoi_no_on.png</t>
  </si>
  <si>
    <t>Horage/Assets/Resources/Kimikoi/kimikoi_no_on.png</t>
  </si>
  <si>
    <t>kimikoi_yes_off</t>
  </si>
  <si>
    <t>UI素材: kimikoi_yes_off</t>
  </si>
  <si>
    <t>kimikoi_yes_off.png</t>
  </si>
  <si>
    <t>ui_kimikoi_dialog_yes_off</t>
  </si>
  <si>
    <t>Resource/image/キミコイ基本画面/ダイアログボックス/kimikoi_yes_off.png</t>
  </si>
  <si>
    <t>Horage/Assets/Resources/Kimikoi/kimikoi_yes_off.png</t>
  </si>
  <si>
    <t>kimikoi_yes_on</t>
  </si>
  <si>
    <t>UI素材: kimikoi_yes_on</t>
  </si>
  <si>
    <t>kimikoi_yes_on.png</t>
  </si>
  <si>
    <t>ui_kimikoi_dialog_yes_on</t>
  </si>
  <si>
    <t>Resource/image/キミコイ基本画面/ダイアログボックス/kimikoi_yes_on.png</t>
  </si>
  <si>
    <t>Horage/Assets/Resources/Kimikoi/kimikoi_yes_on.png</t>
  </si>
  <si>
    <t>★完成図1</t>
  </si>
  <si>
    <t>参考画像/完成図: ★完成図1</t>
  </si>
  <si>
    <t>★完成図1.jpg</t>
  </si>
  <si>
    <t>ref_kimikoimain_dialog_complete_01</t>
  </si>
  <si>
    <t>Resource/image/キミコイ基本画面/ダイアログボックス/★完成図1.jpg</t>
  </si>
  <si>
    <t>Horage/Assets/Resources/Reference/Kimikoi/Main/ダイアログボックス/★完成図1.jpg</t>
  </si>
  <si>
    <t>★完成図2</t>
  </si>
  <si>
    <t>参考画像/完成図: ★完成図2</t>
  </si>
  <si>
    <t>★完成図2.jpg</t>
  </si>
  <si>
    <t>Resource/image/キミコイ基本画面/ダイアログボックス/★完成図2.jpg</t>
  </si>
  <si>
    <t>Horage/Assets/Resources/Reference/Kimikoi/Main/ダイアログボックス/★完成図2.jpg</t>
  </si>
  <si>
    <t>kimikoi_log_base</t>
  </si>
  <si>
    <t>UI素材: kimikoi_log_base</t>
  </si>
  <si>
    <t>kimikoi_log_base.png</t>
  </si>
  <si>
    <t>ui_kimikoi_log_base</t>
  </si>
  <si>
    <t>Resource/image/キミコイ基本画面/ログ/kimikoi_log_base.png</t>
  </si>
  <si>
    <t>Horage/Assets/Resources/Kimikoi/kimikoi_log_base.png</t>
  </si>
  <si>
    <t>デスクトップPrefab（KimikoiAdvLogOverlay.prefab）</t>
  </si>
  <si>
    <t>kimikoi_log_cross_off</t>
  </si>
  <si>
    <t>UI素材: kimikoi_log_cross_off</t>
  </si>
  <si>
    <t>kimikoi_log_cross_off.png</t>
  </si>
  <si>
    <t>ui_kimikoi_log_cross_off</t>
  </si>
  <si>
    <t>Resource/image/キミコイ基本画面/ログ/kimikoi_log_cross_off.png</t>
  </si>
  <si>
    <t>Horage/Assets/Resources/Kimikoi/kimikoi_log_cross_off.png</t>
  </si>
  <si>
    <t>kimikoi_log_cross_on</t>
  </si>
  <si>
    <t>UI素材: kimikoi_log_cross_on</t>
  </si>
  <si>
    <t>kimikoi_log_cross_on.png</t>
  </si>
  <si>
    <t>ui_kimikoi_log_cross_on</t>
  </si>
  <si>
    <t>Resource/image/キミコイ基本画面/ログ/kimikoi_log_cross_on.png</t>
  </si>
  <si>
    <t>Horage/Assets/Resources/Kimikoi/kimikoi_log_cross_on.png</t>
  </si>
  <si>
    <t>ref_kimikoimain_asset_complete_01</t>
  </si>
  <si>
    <t>Resource/image/キミコイ基本画面/ログ/★完成図.jpg</t>
  </si>
  <si>
    <t>Horage/Assets/Resources/Reference/Kimikoi/Main/ログ/★完成図.jpg / Horage/Assets/Resources/Reference/Desktop/★完成図.jpg / Horage/Assets/Resources/Reference/Kimikoi/Main/★完成図.jpg / Horage/Assets/Resources/Reference/Kimikoi/Main/選択肢/★完成図.jpg ほか4件</t>
  </si>
  <si>
    <t>一緒に昼食（仮素材）</t>
  </si>
  <si>
    <t>イベントCG: 一緒に昼食（仮素材）</t>
  </si>
  <si>
    <t>一緒に昼食（仮素材）.png</t>
  </si>
  <si>
    <t>cg_lunch_kari</t>
  </si>
  <si>
    <t>Resource/image/キミコイ基本画面/一緒に昼食（仮素材）.png</t>
  </si>
  <si>
    <t>Horage/Assets/Resources/CG/Evcg_kari_isshoni_chushoku.png</t>
  </si>
  <si>
    <t>kimikoi_transition_day10</t>
  </si>
  <si>
    <t>UI素材: kimikoi_transition_day10</t>
  </si>
  <si>
    <t>kimikoi_transition_day10.png</t>
  </si>
  <si>
    <t>ui_kimikoi_transition_day_10</t>
  </si>
  <si>
    <t>Resource/image/キミコイ基本画面/日数経過/kimikoi_transition_day10.png</t>
  </si>
  <si>
    <t>Horage/Assets/Resources/Kimikoi/kimikoi_transition_day10.png</t>
  </si>
  <si>
    <t>kimikoi_transition_day2</t>
  </si>
  <si>
    <t>UI素材: kimikoi_transition_day2</t>
  </si>
  <si>
    <t>kimikoi_transition_day2.png</t>
  </si>
  <si>
    <t>ui_kimikoi_transition_day_02</t>
  </si>
  <si>
    <t>Resource/image/キミコイ基本画面/日数経過/kimikoi_transition_day2.png</t>
  </si>
  <si>
    <t>Horage/Assets/Resources/Kimikoi/kimikoi_transition_day2.png</t>
  </si>
  <si>
    <t>kimikoi_transition_day3</t>
  </si>
  <si>
    <t>UI素材: kimikoi_transition_day3</t>
  </si>
  <si>
    <t>kimikoi_transition_day3.png</t>
  </si>
  <si>
    <t>ui_kimikoi_transition_day_03</t>
  </si>
  <si>
    <t>Resource/image/キミコイ基本画面/日数経過/kimikoi_transition_day3.png</t>
  </si>
  <si>
    <t>Horage/Assets/Resources/Kimikoi/kimikoi_transition_day3.png</t>
  </si>
  <si>
    <t>kimikoi_transition_day4</t>
  </si>
  <si>
    <t>UI素材: kimikoi_transition_day4</t>
  </si>
  <si>
    <t>kimikoi_transition_day4.png</t>
  </si>
  <si>
    <t>ui_kimikoi_transition_day_04</t>
  </si>
  <si>
    <t>Resource/image/キミコイ基本画面/日数経過/kimikoi_transition_day4.png</t>
  </si>
  <si>
    <t>Horage/Assets/Resources/Kimikoi/kimikoi_transition_day4.png</t>
  </si>
  <si>
    <t>kimikoi_transition_day5</t>
  </si>
  <si>
    <t>UI素材: kimikoi_transition_day5</t>
  </si>
  <si>
    <t>kimikoi_transition_day5.png</t>
  </si>
  <si>
    <t>ui_kimikoi_transition_day_05</t>
  </si>
  <si>
    <t>Resource/image/キミコイ基本画面/日数経過/kimikoi_transition_day5.png</t>
  </si>
  <si>
    <t>Horage/Assets/Resources/Kimikoi/kimikoi_transition_day5.png</t>
  </si>
  <si>
    <t>kimikoi_transition_day6</t>
  </si>
  <si>
    <t>UI素材: kimikoi_transition_day6</t>
  </si>
  <si>
    <t>kimikoi_transition_day6.png</t>
  </si>
  <si>
    <t>ui_kimikoi_transition_day_06</t>
  </si>
  <si>
    <t>Resource/image/キミコイ基本画面/日数経過/kimikoi_transition_day6.png</t>
  </si>
  <si>
    <t>Horage/Assets/Resources/Kimikoi/kimikoi_transition_day6.png</t>
  </si>
  <si>
    <t>kimikoi_transition_day7</t>
  </si>
  <si>
    <t>UI素材: kimikoi_transition_day7</t>
  </si>
  <si>
    <t>kimikoi_transition_day7.png</t>
  </si>
  <si>
    <t>ui_kimikoi_transition_day_07</t>
  </si>
  <si>
    <t>Resource/image/キミコイ基本画面/日数経過/kimikoi_transition_day7.png</t>
  </si>
  <si>
    <t>Horage/Assets/Resources/Kimikoi/kimikoi_transition_day7.png</t>
  </si>
  <si>
    <t>kimikoi_transition_day8</t>
  </si>
  <si>
    <t>UI素材: kimikoi_transition_day8</t>
  </si>
  <si>
    <t>kimikoi_transition_day8.png</t>
  </si>
  <si>
    <t>ui_kimikoi_transition_day_08</t>
  </si>
  <si>
    <t>Resource/image/キミコイ基本画面/日数経過/kimikoi_transition_day8.png</t>
  </si>
  <si>
    <t>Horage/Assets/Resources/Kimikoi/kimikoi_transition_day8.png</t>
  </si>
  <si>
    <t>kimikoi_transition_day9</t>
  </si>
  <si>
    <t>UI素材: kimikoi_transition_day9</t>
  </si>
  <si>
    <t>kimikoi_transition_day9.png</t>
  </si>
  <si>
    <t>ui_kimikoi_transition_day_09</t>
  </si>
  <si>
    <t>Resource/image/キミコイ基本画面/日数経過/kimikoi_transition_day9.png</t>
  </si>
  <si>
    <t>Horage/Assets/Resources/Kimikoi/kimikoi_transition_day9.png</t>
  </si>
  <si>
    <t>海遊びする美結（仮素材）</t>
  </si>
  <si>
    <t>イベントCG: 海遊びする美結（仮素材）</t>
  </si>
  <si>
    <t>海遊びする美結（仮素材）.png</t>
  </si>
  <si>
    <t>cg_sea_miyu_kari</t>
  </si>
  <si>
    <t>Resource/image/キミコイ基本画面/海遊びする美結（仮素材）.png</t>
  </si>
  <si>
    <t>Horage/Assets/Resources/CG/Evcg_kari_umiasobi_miyu.png</t>
  </si>
  <si>
    <t>美結の試着ファッションショー（仮素材）</t>
  </si>
  <si>
    <t>イベントCG: 美結の試着ファッションショー（仮素材）</t>
  </si>
  <si>
    <t>美結の試着ファッションショー（仮素材）.png</t>
  </si>
  <si>
    <t>cg_miyu_fashion_show_kari</t>
  </si>
  <si>
    <t>Resource/image/キミコイ基本画面/美結の試着ファッションショー（仮素材）.png</t>
  </si>
  <si>
    <t>Horage/Assets/Resources/CG/Evcg_kari_miyu_fashion_show.png</t>
  </si>
  <si>
    <t>kimikoi_choices_off</t>
  </si>
  <si>
    <t>UI素材: kimikoi_choices_off</t>
  </si>
  <si>
    <t>kimikoi_choices_off.png</t>
  </si>
  <si>
    <t>ui_kimikoi_choice_off</t>
  </si>
  <si>
    <t>Resource/image/キミコイ基本画面/選択肢/kimikoi_choices_off.png</t>
  </si>
  <si>
    <t>Horage/Assets/Resources/Kimikoi/kimikoi_choices_off.png</t>
  </si>
  <si>
    <t>デスクトップPrefab（KimikoiAdvChoices.prefab）</t>
  </si>
  <si>
    <t>kimikoi_choices_on</t>
  </si>
  <si>
    <t>UI素材: kimikoi_choices_on</t>
  </si>
  <si>
    <t>kimikoi_choices_on.png</t>
  </si>
  <si>
    <t>ui_kimikoi_choice_on</t>
  </si>
  <si>
    <t>Resource/image/キミコイ基本画面/選択肢/kimikoi_choices_on.png</t>
  </si>
  <si>
    <t>Horage/Assets/Resources/Kimikoi/kimikoi_choices_on.png</t>
  </si>
  <si>
    <t>ref_kimikoimain_choice_complete_01</t>
  </si>
  <si>
    <t>Resource/image/キミコイ基本画面/選択肢/★完成図.jpg</t>
  </si>
  <si>
    <t>Horage/Assets/Resources/Reference/Kimikoi/Main/選択肢/★完成図.jpg / Horage/Assets/Resources/Reference/Desktop/★完成図.jpg / Horage/Assets/Resources/Reference/Kimikoi/Main/★完成図.jpg / Horage/Assets/Resources/Reference/Kimikoi/Main/ログ/★完成図.jpg ほか4件</t>
  </si>
  <si>
    <t>kimikoi_day_base_noiseA</t>
  </si>
  <si>
    <t>グリッチ/バグ演出素材: kimikoi_day_base_noiseA</t>
  </si>
  <si>
    <t>kimikoi_day_base_noiseA.png</t>
  </si>
  <si>
    <t>fx_kimikoi_day_base_noisea</t>
  </si>
  <si>
    <t>Resource/image/グリッチノイズ/キミコイUI/kimikoi_day_base_noiseA.png</t>
  </si>
  <si>
    <t>Horage/Assets/Resources/Kimikoi/GlitchNoise/UI/kimikoi_day_base_noiseA.png</t>
  </si>
  <si>
    <t>kimikoi_day_base_noiseB</t>
  </si>
  <si>
    <t>グリッチ/バグ演出素材: kimikoi_day_base_noiseB</t>
  </si>
  <si>
    <t>kimikoi_day_base_noiseB.png</t>
  </si>
  <si>
    <t>fx_kimikoi_day_base_noiseb</t>
  </si>
  <si>
    <t>Resource/image/グリッチノイズ/キミコイUI/kimikoi_day_base_noiseB.png</t>
  </si>
  <si>
    <t>Horage/Assets/Resources/Kimikoi/GlitchNoise/UI/kimikoi_day_base_noiseB.png</t>
  </si>
  <si>
    <t>kimikoi_log_noiseA</t>
  </si>
  <si>
    <t>グリッチ/バグ演出素材: kimikoi_log_noiseA</t>
  </si>
  <si>
    <t>kimikoi_log_noiseA.png</t>
  </si>
  <si>
    <t>ui_kimikoi_log_noisea</t>
  </si>
  <si>
    <t>Resource/image/グリッチノイズ/キミコイUI/kimikoi_log_noiseA.png</t>
  </si>
  <si>
    <t>Horage/Assets/Resources/Kimikoi/GlitchNoise/UI/kimikoi_log_noiseA.png</t>
  </si>
  <si>
    <t>kimikoi_log_noiseB</t>
  </si>
  <si>
    <t>グリッチ/バグ演出素材: kimikoi_log_noiseB</t>
  </si>
  <si>
    <t>kimikoi_log_noiseB.png</t>
  </si>
  <si>
    <t>ui_kimikoi_log_noiseb</t>
  </si>
  <si>
    <t>Resource/image/グリッチノイズ/キミコイUI/kimikoi_log_noiseB.png</t>
  </si>
  <si>
    <t>Horage/Assets/Resources/Kimikoi/GlitchNoise/UI/kimikoi_log_noiseB.png</t>
  </si>
  <si>
    <t>kimikoi_messagewindow_noiseA</t>
  </si>
  <si>
    <t>グリッチ/バグ演出素材: kimikoi_messagewindow_noiseA</t>
  </si>
  <si>
    <t>kimikoi_messagewindow_noiseA.png</t>
  </si>
  <si>
    <t>fx_kimikoi_messagewindow_noisea</t>
  </si>
  <si>
    <t>Resource/image/グリッチノイズ/キミコイUI/kimikoi_messagewindow_noiseA.png</t>
  </si>
  <si>
    <t>Horage/Assets/Resources/Kimikoi/GlitchNoise/UI/kimikoi_messagewindow_noiseA.png</t>
  </si>
  <si>
    <t>kimikoi_messagewindow_noiseB</t>
  </si>
  <si>
    <t>グリッチ/バグ演出素材: kimikoi_messagewindow_noiseB</t>
  </si>
  <si>
    <t>kimikoi_messagewindow_noiseB.png</t>
  </si>
  <si>
    <t>fx_kimikoi_messagewindow_noiseb</t>
  </si>
  <si>
    <t>Resource/image/グリッチノイズ/キミコイUI/kimikoi_messagewindow_noiseB.png</t>
  </si>
  <si>
    <t>Horage/Assets/Resources/Kimikoi/GlitchNoise/UI/kimikoi_messagewindow_noiseB.png</t>
  </si>
  <si>
    <t>kimikoi_namewindow_noiseA</t>
  </si>
  <si>
    <t>グリッチ/バグ演出素材: kimikoi_namewindow_noiseA</t>
  </si>
  <si>
    <t>kimikoi_namewindow_noiseA.png</t>
  </si>
  <si>
    <t>fx_kimikoi_namewindow_noisea</t>
  </si>
  <si>
    <t>Resource/image/グリッチノイズ/キミコイUI/kimikoi_namewindow_noiseA.png</t>
  </si>
  <si>
    <t>Horage/Assets/Resources/Kimikoi/GlitchNoise/UI/kimikoi_namewindow_noiseA.png</t>
  </si>
  <si>
    <t>kimikoi_namewindow_noiseB</t>
  </si>
  <si>
    <t>グリッチ/バグ演出素材: kimikoi_namewindow_noiseB</t>
  </si>
  <si>
    <t>kimikoi_namewindow_noiseB.png</t>
  </si>
  <si>
    <t>fx_kimikoi_namewindow_noiseb</t>
  </si>
  <si>
    <t>Resource/image/グリッチノイズ/キミコイUI/kimikoi_namewindow_noiseB.png</t>
  </si>
  <si>
    <t>Horage/Assets/Resources/Kimikoi/GlitchNoise/UI/kimikoi_namewindow_noiseB.png</t>
  </si>
  <si>
    <t>kimikoi_skip_noiseA</t>
  </si>
  <si>
    <t>グリッチ/バグ演出素材: kimikoi_skip_noiseA</t>
  </si>
  <si>
    <t>kimikoi_skip_noiseA.png</t>
  </si>
  <si>
    <t>fx_kimikoi_skip_noisea</t>
  </si>
  <si>
    <t>Resource/image/グリッチノイズ/キミコイUI/kimikoi_skip_noiseA.png</t>
  </si>
  <si>
    <t>Horage/Assets/Resources/Kimikoi/GlitchNoise/UI/kimikoi_skip_noiseA.png</t>
  </si>
  <si>
    <t>kimikoi_skip_noiseB</t>
  </si>
  <si>
    <t>グリッチ/バグ演出素材: kimikoi_skip_noiseB</t>
  </si>
  <si>
    <t>kimikoi_skip_noiseB.png</t>
  </si>
  <si>
    <t>fx_kimikoi_skip_noiseb</t>
  </si>
  <si>
    <t>Resource/image/グリッチノイズ/キミコイUI/kimikoi_skip_noiseB.png</t>
  </si>
  <si>
    <t>Horage/Assets/Resources/Kimikoi/GlitchNoise/UI/kimikoi_skip_noiseB.png</t>
  </si>
  <si>
    <t>kimikoi_slidebar_base_noiseA</t>
  </si>
  <si>
    <t>グリッチ/バグ演出素材: kimikoi_slidebar_base_noiseA</t>
  </si>
  <si>
    <t>kimikoi_slidebar_base_noiseA.png</t>
  </si>
  <si>
    <t>ui_kimikoi_slidebar_base_noisea</t>
  </si>
  <si>
    <t>Resource/image/グリッチノイズ/キミコイUI/kimikoi_slidebar_base_noiseA.png</t>
  </si>
  <si>
    <t>Horage/Assets/Resources/Kimikoi/GlitchNoise/UI/kimikoi_slidebar_base_noiseA.png</t>
  </si>
  <si>
    <t>kimikoi_slidebar_base_noiseB</t>
  </si>
  <si>
    <t>グリッチ/バグ演出素材: kimikoi_slidebar_base_noiseB</t>
  </si>
  <si>
    <t>kimikoi_slidebar_base_noiseB.png</t>
  </si>
  <si>
    <t>ui_kimikoi_slidebar_base_noiseb</t>
  </si>
  <si>
    <t>Resource/image/グリッチノイズ/キミコイUI/kimikoi_slidebar_base_noiseB.png</t>
  </si>
  <si>
    <t>Horage/Assets/Resources/Kimikoi/GlitchNoise/UI/kimikoi_slidebar_base_noiseB.png</t>
  </si>
  <si>
    <t>kimikoi_miyu_seifuku_noise1a</t>
  </si>
  <si>
    <t>キャラクター/妹・美結素材: kimikoi_miyu_seifuku_noise1a</t>
  </si>
  <si>
    <t>kimikoi_miyu_seifuku_noise1a.png</t>
  </si>
  <si>
    <t>fx_miyu_glitch_lv1_01</t>
  </si>
  <si>
    <t>Resource/image/グリッチノイズ/美結/ノイズレベル１/kimikoi_miyu_seifuku_noise1a.png</t>
  </si>
  <si>
    <t>Horage/Assets/Resources/Kimikoi/GlitchNoise/Portrait/Lv1/kimikoi_miyu_seifuku_noise1a.png</t>
  </si>
  <si>
    <t>kimikoi_miyu_seifuku_noise1b</t>
  </si>
  <si>
    <t>キャラクター/妹・美結素材: kimikoi_miyu_seifuku_noise1b</t>
  </si>
  <si>
    <t>kimikoi_miyu_seifuku_noise1b.png</t>
  </si>
  <si>
    <t>fx_miyu_glitch_lv1_02</t>
  </si>
  <si>
    <t>Resource/image/グリッチノイズ/美結/ノイズレベル１/kimikoi_miyu_seifuku_noise1b.png</t>
  </si>
  <si>
    <t>Horage/Assets/Resources/Kimikoi/GlitchNoise/Portrait/Lv1/kimikoi_miyu_seifuku_noise1b.png</t>
  </si>
  <si>
    <t>kimikoi_miyu_seifuku_noise1c</t>
  </si>
  <si>
    <t>キャラクター/妹・美結素材: kimikoi_miyu_seifuku_noise1c</t>
  </si>
  <si>
    <t>kimikoi_miyu_seifuku_noise1c.png</t>
  </si>
  <si>
    <t>fx_miyu_glitch_lv1_03</t>
  </si>
  <si>
    <t>Resource/image/グリッチノイズ/美結/ノイズレベル１/kimikoi_miyu_seifuku_noise1c.png</t>
  </si>
  <si>
    <t>Horage/Assets/Resources/Kimikoi/GlitchNoise/Portrait/Lv1/kimikoi_miyu_seifuku_noise1c.png</t>
  </si>
  <si>
    <t>kimikoi_miyu_seifuku_null</t>
  </si>
  <si>
    <t>キャラクター/妹・美結素材: kimikoi_miyu_seifuku_null</t>
  </si>
  <si>
    <t>kimikoi_miyu_seifuku_null.png</t>
  </si>
  <si>
    <t>fx_miyu_null</t>
  </si>
  <si>
    <t>Resource/image/グリッチノイズ/美結/ノイズレベル１/kimikoi_miyu_seifuku_null.png</t>
  </si>
  <si>
    <t>Horage/Assets/Resources/Kimikoi/GlitchNoise/Portrait/Lv1/kimikoi_miyu_seifuku_null.png</t>
  </si>
  <si>
    <t>kimikoi_miyu_seifuku_big</t>
  </si>
  <si>
    <t>キャラクター/妹・美結素材: kimikoi_miyu_seifuku_big</t>
  </si>
  <si>
    <t>kimikoi_miyu_seifuku_big.png</t>
  </si>
  <si>
    <t>fx_miyu_big</t>
  </si>
  <si>
    <t>Resource/image/グリッチノイズ/美結/ノイズレベル２/kimikoi_miyu_seifuku_big.png</t>
  </si>
  <si>
    <t>Horage/Assets/Resources/Kimikoi/GlitchNoise/Portrait/Lv2/kimikoi_miyu_seifuku_big.png</t>
  </si>
  <si>
    <t>kimikoi_miyu_seifuku_biga</t>
  </si>
  <si>
    <t>キャラクター/妹・美結素材: kimikoi_miyu_seifuku_biga</t>
  </si>
  <si>
    <t>kimikoi_miyu_seifuku_biga.png</t>
  </si>
  <si>
    <t>fx_miyu_biga</t>
  </si>
  <si>
    <t>Resource/image/グリッチノイズ/美結/ノイズレベル２/kimikoi_miyu_seifuku_biga.png</t>
  </si>
  <si>
    <t>Horage/Assets/Resources/Kimikoi/GlitchNoise/Portrait/Lv2/kimikoi_miyu_seifuku_biga.png</t>
  </si>
  <si>
    <t>kimikoi_miyu_seifuku_reversenoisea</t>
  </si>
  <si>
    <t>キャラクター/妹・美結素材: kimikoi_miyu_seifuku_reversenoisea</t>
  </si>
  <si>
    <t>kimikoi_miyu_seifuku_reversenoisea.png</t>
  </si>
  <si>
    <t>fx_miyu_reverse_noise_01</t>
  </si>
  <si>
    <t>Resource/image/グリッチノイズ/美結/ノイズレベル２/kimikoi_miyu_seifuku_reversenoisea.png</t>
  </si>
  <si>
    <t>Horage/Assets/Resources/Kimikoi/GlitchNoise/Portrait/Lv2/kimikoi_miyu_seifuku_reversenoisea.png</t>
  </si>
  <si>
    <t>kimikoi_miyu_seifuku_reversenoiseb</t>
  </si>
  <si>
    <t>キャラクター/妹・美結素材: kimikoi_miyu_seifuku_reversenoiseb</t>
  </si>
  <si>
    <t>kimikoi_miyu_seifuku_reversenoiseb.png</t>
  </si>
  <si>
    <t>fx_miyu_reverse_noise_02</t>
  </si>
  <si>
    <t>Resource/image/グリッチノイズ/美結/ノイズレベル２/kimikoi_miyu_seifuku_reversenoiseb.png</t>
  </si>
  <si>
    <t>Horage/Assets/Resources/Kimikoi/GlitchNoise/Portrait/Lv2/kimikoi_miyu_seifuku_reversenoiseb.png</t>
  </si>
  <si>
    <t>kimikoi_background_entrance_noiseA</t>
  </si>
  <si>
    <t>背景素材: kimikoi_background_entrance_noiseA</t>
  </si>
  <si>
    <t>kimikoi_background_entrance_noiseA.png</t>
  </si>
  <si>
    <t>fx_bg_entrance_noise_a</t>
  </si>
  <si>
    <t>Resource/image/グリッチノイズ/背景/kimikoi_background_entrance_noiseA.png</t>
  </si>
  <si>
    <t>Horage/Assets/Resources/Kimikoi/GlitchNoise/BG/kimikoi_background_entrance_noiseA.png</t>
  </si>
  <si>
    <t>kimikoi_background_entrance_noiseB</t>
  </si>
  <si>
    <t>背景素材: kimikoi_background_entrance_noiseB</t>
  </si>
  <si>
    <t>kimikoi_background_entrance_noiseB.png</t>
  </si>
  <si>
    <t>fx_bg_entrance_noise_b</t>
  </si>
  <si>
    <t>Resource/image/グリッチノイズ/背景/kimikoi_background_entrance_noiseB.png</t>
  </si>
  <si>
    <t>Horage/Assets/Resources/Kimikoi/GlitchNoise/BG/kimikoi_background_entrance_noiseB.png</t>
  </si>
  <si>
    <t>appicon_dustbox_off</t>
  </si>
  <si>
    <t>UI素材: appicon_dustbox_off</t>
  </si>
  <si>
    <t>appicon_dustbox_off.png</t>
  </si>
  <si>
    <t>ui_desktop_icon_dustbox_off</t>
  </si>
  <si>
    <t>Resource/image/デスクトップ/appicon_dustbox_off.png</t>
  </si>
  <si>
    <t>Horage/Assets/Resources/UI/Desktop/appicon_dustbox_off.png</t>
  </si>
  <si>
    <t>デスクトップ設定（icon_recycle.asset）</t>
  </si>
  <si>
    <t>appicon_dustbox_on</t>
  </si>
  <si>
    <t>UI素材: appicon_dustbox_on</t>
  </si>
  <si>
    <t>appicon_dustbox_on.png</t>
  </si>
  <si>
    <t>ui_desktop_icon_dustbox_on</t>
  </si>
  <si>
    <t>Resource/image/デスクトップ/appicon_dustbox_on.png</t>
  </si>
  <si>
    <t>Horage/Assets/Resources/UI/Desktop/appicon_dustbox_on.png</t>
  </si>
  <si>
    <t>appicon_googru_off</t>
  </si>
  <si>
    <t>デスクトップ内Web表示素材: appicon_googru_off</t>
  </si>
  <si>
    <t>appicon_googru_off.png</t>
  </si>
  <si>
    <t>ui_desktop_icon_googru_off</t>
  </si>
  <si>
    <t>Resource/image/デスクトップ/appicon_googru_off.png</t>
  </si>
  <si>
    <t>Horage/Assets/Resources/UI/Desktop/appicon_googru_off.png</t>
  </si>
  <si>
    <t>デスクトップ設定（icon_googru.asset）</t>
  </si>
  <si>
    <t>appicon_googru_on</t>
  </si>
  <si>
    <t>デスクトップ内Web表示素材: appicon_googru_on</t>
  </si>
  <si>
    <t>appicon_googru_on.png</t>
  </si>
  <si>
    <t>ui_desktop_icon_googru_on</t>
  </si>
  <si>
    <t>Resource/image/デスクトップ/appicon_googru_on.png</t>
  </si>
  <si>
    <t>Horage/Assets/Resources/UI/Desktop/appicon_googru_on.png</t>
  </si>
  <si>
    <t>appicon_kimikoi_off</t>
  </si>
  <si>
    <t>UI素材: appicon_kimikoi_off</t>
  </si>
  <si>
    <t>appicon_kimikoi_off.png</t>
  </si>
  <si>
    <t>ui_desktop_icon_kimikoi_off</t>
  </si>
  <si>
    <t>Resource/image/デスクトップ/appicon_kimikoi_off.png</t>
  </si>
  <si>
    <t>Horage/Assets/Resources/UI/Desktop/appicon_kimikoi_off.png</t>
  </si>
  <si>
    <t>デスクトップ設定（icon_kimikoi.asset）</t>
  </si>
  <si>
    <t>appicon_kimikoi_on</t>
  </si>
  <si>
    <t>UI素材: appicon_kimikoi_on</t>
  </si>
  <si>
    <t>appicon_kimikoi_on.png</t>
  </si>
  <si>
    <t>ui_desktop_icon_kimikoi_on</t>
  </si>
  <si>
    <t>Resource/image/デスクトップ/appicon_kimikoi_on.png</t>
  </si>
  <si>
    <t>Horage/Assets/Resources/UI/Desktop/appicon_kimikoi_on.png</t>
  </si>
  <si>
    <t>appicon_lime_off</t>
  </si>
  <si>
    <t>UI素材: appicon_lime_off</t>
  </si>
  <si>
    <t>appicon_lime_off.png</t>
  </si>
  <si>
    <t>ui_desktop_icon_lime_off</t>
  </si>
  <si>
    <t>Resource/image/デスクトップ/appicon_lime_off.png</t>
  </si>
  <si>
    <t>Horage/Assets/Resources/UI/Desktop/appicon_lime_off.png</t>
  </si>
  <si>
    <t>デスクトップ設定（icon_lime.asset）</t>
  </si>
  <si>
    <t>appicon_lime_on</t>
  </si>
  <si>
    <t>UI素材: appicon_lime_on</t>
  </si>
  <si>
    <t>appicon_lime_on.png</t>
  </si>
  <si>
    <t>ui_desktop_icon_lime_on</t>
  </si>
  <si>
    <t>Resource/image/デスクトップ/appicon_lime_on.png</t>
  </si>
  <si>
    <t>Horage/Assets/Resources/UI/Desktop/appicon_lime_on.png</t>
  </si>
  <si>
    <t>appicon_option_off</t>
  </si>
  <si>
    <t>UI素材: appicon_option_off</t>
  </si>
  <si>
    <t>appicon_option_off.png</t>
  </si>
  <si>
    <t>ui_desktop_icon_option_off</t>
  </si>
  <si>
    <t>Resource/image/デスクトップ/appicon_option_off.png</t>
  </si>
  <si>
    <t>Horage/Assets/Resources/UI/Desktop/appicon_option_off.png</t>
  </si>
  <si>
    <t>appicon_option_on</t>
  </si>
  <si>
    <t>UI素材: appicon_option_on</t>
  </si>
  <si>
    <t>appicon_option_on.png</t>
  </si>
  <si>
    <t>ui_desktop_icon_option_on</t>
  </si>
  <si>
    <t>Resource/image/デスクトップ/appicon_option_on.png</t>
  </si>
  <si>
    <t>Horage/Assets/Resources/UI/Desktop/appicon_option_on.png</t>
  </si>
  <si>
    <t>デスクトップ設定（settings.asset）</t>
  </si>
  <si>
    <t>appicon_taskbar_dustbox_off</t>
  </si>
  <si>
    <t>UI素材: appicon_taskbar_dustbox_off</t>
  </si>
  <si>
    <t>appicon_taskbar_dustbox_off.png</t>
  </si>
  <si>
    <t>ui_desktop_taskbar_icon_dustbox_off</t>
  </si>
  <si>
    <t>Resource/image/デスクトップ/appicon_taskbar_dustbox_off.png</t>
  </si>
  <si>
    <t>Horage/Assets/Resources/UI/Desktop/appicon_taskbar_dustbox_off.png</t>
  </si>
  <si>
    <t>appicon_taskbar_dustbox_on</t>
  </si>
  <si>
    <t>UI素材: appicon_taskbar_dustbox_on</t>
  </si>
  <si>
    <t>appicon_taskbar_dustbox_on.png</t>
  </si>
  <si>
    <t>ui_desktop_taskbar_icon_dustbox_on</t>
  </si>
  <si>
    <t>Resource/image/デスクトップ/appicon_taskbar_dustbox_on.png</t>
  </si>
  <si>
    <t>Horage/Assets/Resources/UI/Desktop/appicon_taskbar_dustbox_on.png</t>
  </si>
  <si>
    <t>デスクトップ設定（recycle_bin.asset）</t>
  </si>
  <si>
    <t>appicon_taskbar_googru_off</t>
  </si>
  <si>
    <t>デスクトップ内Web表示素材: appicon_taskbar_googru_off</t>
  </si>
  <si>
    <t>appicon_taskbar_googru_off.png</t>
  </si>
  <si>
    <t>ui_desktop_taskbar_icon_googru_off</t>
  </si>
  <si>
    <t>Resource/image/デスクトップ/appicon_taskbar_googru_off.png</t>
  </si>
  <si>
    <t>Horage/Assets/Resources/UI/Desktop/appicon_taskbar_googru_off.png</t>
  </si>
  <si>
    <t>appicon_taskbar_googru_on</t>
  </si>
  <si>
    <t>デスクトップ内Web表示素材: appicon_taskbar_googru_on</t>
  </si>
  <si>
    <t>appicon_taskbar_googru_on.png</t>
  </si>
  <si>
    <t>ui_desktop_taskbar_icon_googru_on</t>
  </si>
  <si>
    <t>Resource/image/デスクトップ/appicon_taskbar_googru_on.png</t>
  </si>
  <si>
    <t>Horage/Assets/Resources/UI/Desktop/appicon_taskbar_googru_on.png</t>
  </si>
  <si>
    <t>デスクトップ設定（googru.asset）</t>
  </si>
  <si>
    <t>appicon_taskbar_kimikoi_off</t>
  </si>
  <si>
    <t>UI素材: appicon_taskbar_kimikoi_off</t>
  </si>
  <si>
    <t>appicon_taskbar_kimikoi_off.png</t>
  </si>
  <si>
    <t>ui_desktop_taskbar_icon_kimikoi_off</t>
  </si>
  <si>
    <t>Resource/image/デスクトップ/appicon_taskbar_kimikoi_off.png</t>
  </si>
  <si>
    <t>Horage/Assets/Resources/UI/Desktop/appicon_taskbar_kimikoi_off.png</t>
  </si>
  <si>
    <t>appicon_taskbar_kimikoi_on</t>
  </si>
  <si>
    <t>UI素材: appicon_taskbar_kimikoi_on</t>
  </si>
  <si>
    <t>appicon_taskbar_kimikoi_on.png</t>
  </si>
  <si>
    <t>ui_desktop_taskbar_icon_kimikoi_on</t>
  </si>
  <si>
    <t>Resource/image/デスクトップ/appicon_taskbar_kimikoi_on.png</t>
  </si>
  <si>
    <t>Horage/Assets/Resources/UI/Desktop/appicon_taskbar_kimikoi_on.png</t>
  </si>
  <si>
    <t>appicon_taskbar_lime_off</t>
  </si>
  <si>
    <t>UI素材: appicon_taskbar_lime_off</t>
  </si>
  <si>
    <t>appicon_taskbar_lime_off.png</t>
  </si>
  <si>
    <t>ui_desktop_taskbar_icon_lime_off</t>
  </si>
  <si>
    <t>Resource/image/デスクトップ/appicon_taskbar_lime_off.png</t>
  </si>
  <si>
    <t>Horage/Assets/Resources/UI/Desktop/appicon_taskbar_lime_off.png</t>
  </si>
  <si>
    <t>appicon_taskbar_lime_on</t>
  </si>
  <si>
    <t>UI素材: appicon_taskbar_lime_on</t>
  </si>
  <si>
    <t>appicon_taskbar_lime_on.png</t>
  </si>
  <si>
    <t>ui_desktop_taskbar_icon_lime_on</t>
  </si>
  <si>
    <t>Resource/image/デスクトップ/appicon_taskbar_lime_on.png</t>
  </si>
  <si>
    <t>Horage/Assets/Resources/UI/Desktop/appicon_taskbar_lime_on.png</t>
  </si>
  <si>
    <t>ui_shadow</t>
  </si>
  <si>
    <t>UI素材: ui_shadow</t>
  </si>
  <si>
    <t>ui_shadow.png</t>
  </si>
  <si>
    <t>ui_ui_shadow</t>
  </si>
  <si>
    <t>Resource/image/デスクトップ/ui_shadow.png</t>
  </si>
  <si>
    <t>Horage/Assets/Resources/UI/Desktop/ui_shadow.png</t>
  </si>
  <si>
    <t>ref_desktop_complete_01</t>
  </si>
  <si>
    <t>Resource/image/デスクトップ/★完成図.jpg</t>
  </si>
  <si>
    <t>Horage/Assets/Resources/Reference/Desktop/★完成図.jpg / Horage/Assets/Resources/Reference/Kimikoi/Main/★完成図.jpg / Horage/Assets/Resources/Reference/Kimikoi/Main/ログ/★完成図.jpg / Horage/Assets/Resources/Reference/Kimikoi/Main/選択肢/★完成図.jpg ほか4件</t>
  </si>
  <si>
    <t>ホラゲデスクトップ画面調整</t>
  </si>
  <si>
    <t>UI素材: ホラゲデスクトップ画面調整</t>
  </si>
  <si>
    <t>ホラゲデスクトップ画面調整.png</t>
  </si>
  <si>
    <t>ui_desktop</t>
  </si>
  <si>
    <t>Resource/image/デスクトップ/ホラゲデスクトップ画面調整.png</t>
  </si>
  <si>
    <t>Horage/Assets/Resources/UI/Desktop/ホラゲデスクトップ画面調整.png</t>
  </si>
  <si>
    <t>ikuragames</t>
  </si>
  <si>
    <t>ロゴ素材: ikuragames</t>
  </si>
  <si>
    <t>ikuragames.png</t>
  </si>
  <si>
    <t>ui_logo_ikuragames_01</t>
  </si>
  <si>
    <t>Resource/image/ロゴ/ikuragames.png</t>
  </si>
  <si>
    <t>Horage/Assets/Resources/ikuragames.png</t>
  </si>
  <si>
    <t>VA</t>
  </si>
  <si>
    <t>ロゴ素材: VA</t>
  </si>
  <si>
    <t>VA.png</t>
  </si>
  <si>
    <t>ui_logo_va_01</t>
  </si>
  <si>
    <t>Resource/image/ロゴ/VA.png</t>
  </si>
  <si>
    <t>Horage/Assets/Resources/VA.png</t>
  </si>
  <si>
    <t>DefaultVolumeProfile.asset</t>
  </si>
  <si>
    <t>fukidashi</t>
  </si>
  <si>
    <t>キャラクター/妹・美結素材: fukidashi</t>
  </si>
  <si>
    <t>fukidashi.png</t>
  </si>
  <si>
    <t>ui_sister_bubble</t>
  </si>
  <si>
    <t>Resource/image/妹/fukidashi.png</t>
  </si>
  <si>
    <t>Horage/Assets/Resources/Sister/fukidashi.png</t>
  </si>
  <si>
    <t>fukidashi_left_lower</t>
  </si>
  <si>
    <t>キャラクター/妹・美結素材: fukidashi_left_lower</t>
  </si>
  <si>
    <t>fukidashi_left_lower.png</t>
  </si>
  <si>
    <t>ui_sister_bubble_left_lower</t>
  </si>
  <si>
    <t>Resource/image/妹/fukidashi_left_lower.png</t>
  </si>
  <si>
    <t>Horage/Assets/Resources/Sister/fukidashi_left_lower.png</t>
  </si>
  <si>
    <t>fukidashi_left_upper</t>
  </si>
  <si>
    <t>キャラクター/妹・美結素材: fukidashi_left_upper</t>
  </si>
  <si>
    <t>fukidashi_left_upper.png</t>
  </si>
  <si>
    <t>ui_sister_bubble_left_upper</t>
  </si>
  <si>
    <t>Resource/image/妹/fukidashi_left_upper.png</t>
  </si>
  <si>
    <t>Horage/Assets/Resources/Sister/fukidashi_left_upper.png</t>
  </si>
  <si>
    <t>fukidashi_right_lower</t>
  </si>
  <si>
    <t>キャラクター/妹・美結素材: fukidashi_right_lower</t>
  </si>
  <si>
    <t>fukidashi_right_lower.png</t>
  </si>
  <si>
    <t>ui_sister_bubble_right_lower</t>
  </si>
  <si>
    <t>Resource/image/妹/fukidashi_right_lower.png</t>
  </si>
  <si>
    <t>Horage/Assets/Resources/Sister/fukidashi_right_lower.png</t>
  </si>
  <si>
    <t>fukidashi_right_upper</t>
  </si>
  <si>
    <t>キャラクター/妹・美結素材: fukidashi_right_upper</t>
  </si>
  <si>
    <t>fukidashi_right_upper.png</t>
  </si>
  <si>
    <t>ui_sister_bubble_right_upper</t>
  </si>
  <si>
    <t>Resource/image/妹/fukidashi_right_upper.png</t>
  </si>
  <si>
    <t>Horage/Assets/Resources/Sister/fukidashi_right_upper.png</t>
  </si>
  <si>
    <t>キャラクター/妹・美結素材: kimikoi_slidebar_base</t>
  </si>
  <si>
    <t>ui_sister_gauge_base</t>
  </si>
  <si>
    <t>Resource/image/妹/kimikoi_slidebar_base.png</t>
  </si>
  <si>
    <t>キャラクター/妹・美結素材: kimikoi_slidebar_meter</t>
  </si>
  <si>
    <t>ui_sister_gauge_meter</t>
  </si>
  <si>
    <t>Resource/image/妹/kimikoi_slidebar_meter.png</t>
  </si>
  <si>
    <t>sister_base01_1</t>
  </si>
  <si>
    <t>キャラクター/妹・美結素材: sister_base01_1</t>
  </si>
  <si>
    <t>sister_base01_1.png</t>
  </si>
  <si>
    <t>chara_imo_01_01</t>
  </si>
  <si>
    <t>Resource/image/妹/sister_base01_1.png</t>
  </si>
  <si>
    <t>Horage/Assets/Resources/Sister/sister_base01_1.png</t>
  </si>
  <si>
    <t>デスクトップPrefab（SisterResidentWindow.prefab）</t>
  </si>
  <si>
    <t>sister_base01_2</t>
  </si>
  <si>
    <t>キャラクター/妹・美結素材: sister_base01_2</t>
  </si>
  <si>
    <t>sister_base01_2.png</t>
  </si>
  <si>
    <t>chara_imo_01_02</t>
  </si>
  <si>
    <t>Resource/image/妹/sister_base01_2.png</t>
  </si>
  <si>
    <t>Horage/Assets/Resources/Sister/sister_base01_2.png</t>
  </si>
  <si>
    <t>sister_base01_3</t>
  </si>
  <si>
    <t>キャラクター/妹・美結素材: sister_base01_3</t>
  </si>
  <si>
    <t>2026-05-18</t>
  </si>
  <si>
    <t>sister_base01_3.png</t>
  </si>
  <si>
    <t>chara_imo_01_03</t>
  </si>
  <si>
    <t>Resource/image/妹/sister_base01_3.png</t>
  </si>
  <si>
    <t>Horage/Assets/Resources/Sister/sister_base01_3.png</t>
  </si>
  <si>
    <t>sister_base01_4</t>
  </si>
  <si>
    <t>キャラクター/妹・美結素材: sister_base01_4</t>
  </si>
  <si>
    <t>sister_base01_4.png</t>
  </si>
  <si>
    <t>chara_imo_01_04</t>
  </si>
  <si>
    <t>Resource/image/妹/sister_base01_4.png</t>
  </si>
  <si>
    <t>Horage/Assets/Resources/Sister/sister_base01_4.png</t>
  </si>
  <si>
    <t>sister_base02</t>
  </si>
  <si>
    <t>キャラクター/妹・美結素材: sister_base02</t>
  </si>
  <si>
    <t>sister_base02.png</t>
  </si>
  <si>
    <t>chara_imo_02_01</t>
  </si>
  <si>
    <t>Resource/image/妹/sister_base02.png</t>
  </si>
  <si>
    <t>Horage/Assets/Resources/Sister/sister_base02.png</t>
  </si>
  <si>
    <t>sister_base1_aura</t>
  </si>
  <si>
    <t>キャラクター/妹・美結素材: sister_base1_aura</t>
  </si>
  <si>
    <t>sister_base1_aura.png</t>
  </si>
  <si>
    <t>fx_imo_aura_01</t>
  </si>
  <si>
    <t>Resource/image/妹/sister_base1_aura.png</t>
  </si>
  <si>
    <t>Horage/Assets/Resources/Sister/sister_base1_aura.png</t>
  </si>
  <si>
    <t>sister_slidebar_base</t>
  </si>
  <si>
    <t>キャラクター/妹・美結素材: sister_slidebar_base</t>
  </si>
  <si>
    <t>sister_slidebar_base.png</t>
  </si>
  <si>
    <t>Resource/image/妹/sister_slidebar_base.png</t>
  </si>
  <si>
    <t>Horage/Assets/Resources/Sister/sister_slidebar_base.png</t>
  </si>
  <si>
    <t>sister_slidebar_base1</t>
  </si>
  <si>
    <t>キャラクター/妹・美結素材: sister_slidebar_base1</t>
  </si>
  <si>
    <t>sister_slidebar_base1.png</t>
  </si>
  <si>
    <t>ui_sister_gauge_base1</t>
  </si>
  <si>
    <t>Resource/image/妹/sister_slidebar_base1.png</t>
  </si>
  <si>
    <t>Horage/Assets/Resources/Sister/sister_slidebar_base1.png</t>
  </si>
  <si>
    <t>sister_slidebar_base2</t>
  </si>
  <si>
    <t>キャラクター/妹・美結素材: sister_slidebar_base2</t>
  </si>
  <si>
    <t>sister_slidebar_base2.png</t>
  </si>
  <si>
    <t>ui_sister_gauge_base2</t>
  </si>
  <si>
    <t>Resource/image/妹/sister_slidebar_base2.png</t>
  </si>
  <si>
    <t>Horage/Assets/Resources/Sister/sister_slidebar_base2.png</t>
  </si>
  <si>
    <t>sister_slidebar_base3</t>
  </si>
  <si>
    <t>キャラクター/妹・美結素材: sister_slidebar_base3</t>
  </si>
  <si>
    <t>sister_slidebar_base3.png</t>
  </si>
  <si>
    <t>ui_sister_gauge_base3</t>
  </si>
  <si>
    <t>Resource/image/妹/sister_slidebar_base3.png</t>
  </si>
  <si>
    <t>Horage/Assets/Resources/Sister/sister_slidebar_base3.png</t>
  </si>
  <si>
    <t>sister_slidebar_base4</t>
  </si>
  <si>
    <t>キャラクター/妹・美結素材: sister_slidebar_base4</t>
  </si>
  <si>
    <t>sister_slidebar_base4.png</t>
  </si>
  <si>
    <t>ui_sister_gauge_base4</t>
  </si>
  <si>
    <t>Resource/image/妹/sister_slidebar_base4.png</t>
  </si>
  <si>
    <t>Horage/Assets/Resources/Sister/sister_slidebar_base4.png</t>
  </si>
  <si>
    <t>sister_slidebar_base_iraira</t>
  </si>
  <si>
    <t>キャラクター/妹・美結素材: sister_slidebar_base_iraira</t>
  </si>
  <si>
    <t>sister_slidebar_base_iraira.png</t>
  </si>
  <si>
    <t>ui_sister_gauge_base_iraira</t>
  </si>
  <si>
    <t>Resource/image/妹/sister_slidebar_base_iraira.png</t>
  </si>
  <si>
    <t>Horage/Assets/Resources/Sister/sister_slidebar_base_iraira.png</t>
  </si>
  <si>
    <t>sister_slidebar_base_onnen</t>
  </si>
  <si>
    <t>キャラクター/妹・美結素材: sister_slidebar_base_onnen</t>
  </si>
  <si>
    <t>sister_slidebar_base_onnen.png</t>
  </si>
  <si>
    <t>ui_sister_gauge_base_onnen</t>
  </si>
  <si>
    <t>Resource/image/妹/sister_slidebar_base_onnen.png</t>
  </si>
  <si>
    <t>Horage/Assets/Resources/Sister/sister_slidebar_base_onnen.png</t>
  </si>
  <si>
    <t>sister_slidebar_base_sinrai</t>
  </si>
  <si>
    <t>キャラクター/妹・美結素材: sister_slidebar_base_sinrai</t>
  </si>
  <si>
    <t>sister_slidebar_base_sinrai.png</t>
  </si>
  <si>
    <t>ui_sister_gauge_base_sinrai</t>
  </si>
  <si>
    <t>Resource/image/妹/sister_slidebar_base_sinrai.png</t>
  </si>
  <si>
    <t>Horage/Assets/Resources/Sister/sister_slidebar_base_sinrai.png</t>
  </si>
  <si>
    <t>sister_slidebar_base_tokimeki</t>
  </si>
  <si>
    <t>キャラクター/妹・美結素材: sister_slidebar_base_tokimeki</t>
  </si>
  <si>
    <t>sister_slidebar_base_tokimeki.png</t>
  </si>
  <si>
    <t>ui_sister_gauge_base_tokimeki</t>
  </si>
  <si>
    <t>Resource/image/妹/sister_slidebar_base_tokimeki.png</t>
  </si>
  <si>
    <t>Horage/Assets/Resources/Sister/sister_slidebar_base_tokimeki.png</t>
  </si>
  <si>
    <t>sister_slidebar_meter</t>
  </si>
  <si>
    <t>キャラクター/妹・美結素材: sister_slidebar_meter</t>
  </si>
  <si>
    <t>sister_slidebar_meter.png</t>
  </si>
  <si>
    <t>Resource/image/妹/sister_slidebar_meter.png</t>
  </si>
  <si>
    <t>Horage/Assets/Resources/Sister/sister_slidebar_meter.png</t>
  </si>
  <si>
    <t>ref_imo_complete_01</t>
  </si>
  <si>
    <t>Resource/image/妹/★完成図.jpg</t>
  </si>
  <si>
    <t>Resource/image/妹/★完成図2.jpg</t>
  </si>
  <si>
    <t>HCG1</t>
  </si>
  <si>
    <t>イベントCG: HCG1</t>
  </si>
  <si>
    <t>HCG1.png</t>
  </si>
  <si>
    <t>cg_imo_horror_01</t>
  </si>
  <si>
    <t>Resource/image/妹/ホラーCG/HCG1.png</t>
  </si>
  <si>
    <t>Horage/Assets/Resources/Sister/ホラーCG/HCG1.png</t>
  </si>
  <si>
    <t>★HCG1演出イメージ</t>
  </si>
  <si>
    <t>参考画像/完成図: ★HCG1演出イメージ</t>
  </si>
  <si>
    <t>★HCG1演出イメージ.jpg</t>
  </si>
  <si>
    <t>ref_imo_horror_cg_01</t>
  </si>
  <si>
    <t>Resource/image/妹/ホラーCG/★HCG1演出イメージ.jpg</t>
  </si>
  <si>
    <t>Horage/Assets/Resources/Sister/ホラーCG/★HCG1演出イメージ.jpg</t>
  </si>
  <si>
    <t>TestBitMap</t>
  </si>
  <si>
    <t>UI素材: TestBitMap</t>
  </si>
  <si>
    <t>TestBitMap.bmp</t>
  </si>
  <si>
    <t>ref_test_bitmap_01</t>
  </si>
  <si>
    <t>Resource/TestBitMap.bmp</t>
  </si>
  <si>
    <t>デスクトップ配置0512</t>
  </si>
  <si>
    <t>参考画像/完成図: デスクトップ配置0512</t>
  </si>
  <si>
    <t>2026-05-20</t>
  </si>
  <si>
    <t>デスクトップ配置0512.psd</t>
  </si>
  <si>
    <t>ref_desktop_layout_0512</t>
  </si>
  <si>
    <t>Resource/デスクトップ配置0512.psd</t>
  </si>
  <si>
    <t>googru_search_results</t>
  </si>
  <si>
    <t>デスクトップ内Web表示素材: googru_search_results</t>
  </si>
  <si>
    <t>googru_search_results.png</t>
  </si>
  <si>
    <t>ui_googru_googru_search_results</t>
  </si>
  <si>
    <t>Horage/Assets/Data/Desktop/GoogruPages/googru_search_results.png</t>
  </si>
  <si>
    <t>デスクトップ設定（GoogruPageCatalog.asset）</t>
  </si>
  <si>
    <t>kimikoi_official</t>
  </si>
  <si>
    <t>デスクトップ内Web表示素材: kimikoi_official</t>
  </si>
  <si>
    <t>kimikoi_official.png</t>
  </si>
  <si>
    <t>ui_googru_kimikoi_official</t>
  </si>
  <si>
    <t>Horage/Assets/Data/Desktop/GoogruPages/kimikoi_official.png</t>
  </si>
  <si>
    <t>kimikoi_steal</t>
  </si>
  <si>
    <t>デスクトップ内Web表示素材: kimikoi_steal</t>
  </si>
  <si>
    <t>kimikoi_steal.png</t>
  </si>
  <si>
    <t>ui_googru_kimikoi_steal</t>
  </si>
  <si>
    <t>Horage/Assets/Data/Desktop/GoogruPages/kimikoi_steal.png</t>
  </si>
  <si>
    <t>ikuragames_bug_l1</t>
  </si>
  <si>
    <t>グリッチ/バグ演出素材: ikuragames_bug_l1</t>
  </si>
  <si>
    <t>2026-06-01</t>
  </si>
  <si>
    <t>ikuragames_bug_l1.png</t>
  </si>
  <si>
    <t>fx_ikuragames_bug_l1</t>
  </si>
  <si>
    <t>Horage/Assets/Resources/_bug_generated/ikuragames_bug_l1.png</t>
  </si>
  <si>
    <t>ikuragames_bug_l2</t>
  </si>
  <si>
    <t>グリッチ/バグ演出素材: ikuragames_bug_l2</t>
  </si>
  <si>
    <t>ikuragames_bug_l2.png</t>
  </si>
  <si>
    <t>fx_ikuragames_bug_l2</t>
  </si>
  <si>
    <t>Horage/Assets/Resources/_bug_generated/ikuragames_bug_l2.png</t>
  </si>
  <si>
    <t>VA_bug_l1</t>
  </si>
  <si>
    <t>グリッチ/バグ演出素材: VA_bug_l1</t>
  </si>
  <si>
    <t>VA_bug_l1.png</t>
  </si>
  <si>
    <t>fx_va_bug_l1</t>
  </si>
  <si>
    <t>Horage/Assets/Resources/_bug_generated/VA_bug_l1.png</t>
  </si>
  <si>
    <t>VA_bug_l2</t>
  </si>
  <si>
    <t>グリッチ/バグ演出素材: VA_bug_l2</t>
  </si>
  <si>
    <t>VA_bug_l2.png</t>
  </si>
  <si>
    <t>fx_va_bug_l2</t>
  </si>
  <si>
    <t>Horage/Assets/Resources/_bug_generated/VA_bug_l2.png</t>
  </si>
  <si>
    <t>kimikoi_completion_off_bug_l1</t>
  </si>
  <si>
    <t>グリッチ/バグ演出素材: kimikoi_completion_off_bug_l1</t>
  </si>
  <si>
    <t>kimikoi_completion_off_bug_l1.png</t>
  </si>
  <si>
    <t>ui_kimikoi_dialog_completion_off_bug_l1</t>
  </si>
  <si>
    <t>Horage/Assets/Resources/Kimikoi/_bug_generated/kimikoi_completion_off_bug_l1.png</t>
  </si>
  <si>
    <t>kimikoi_completion_off_bug_l2</t>
  </si>
  <si>
    <t>グリッチ/バグ演出素材: kimikoi_completion_off_bug_l2</t>
  </si>
  <si>
    <t>kimikoi_completion_off_bug_l2.png</t>
  </si>
  <si>
    <t>ui_kimikoi_dialog_completion_off_bug_l2</t>
  </si>
  <si>
    <t>Horage/Assets/Resources/Kimikoi/_bug_generated/kimikoi_completion_off_bug_l2.png</t>
  </si>
  <si>
    <t>kimikoi_config_base_bug_l1</t>
  </si>
  <si>
    <t>グリッチ/バグ演出素材: kimikoi_config_base_bug_l1</t>
  </si>
  <si>
    <t>kimikoi_config_base_bug_l1.png</t>
  </si>
  <si>
    <t>ui_kimikoi_config_base_bug_l1</t>
  </si>
  <si>
    <t>Horage/Assets/Resources/Kimikoi/_bug_generated/kimikoi_config_base_bug_l1.png</t>
  </si>
  <si>
    <t>kimikoi_config_base_bug_l2</t>
  </si>
  <si>
    <t>グリッチ/バグ演出素材: kimikoi_config_base_bug_l2</t>
  </si>
  <si>
    <t>kimikoi_config_base_bug_l2.png</t>
  </si>
  <si>
    <t>ui_kimikoi_config_base_bug_l2</t>
  </si>
  <si>
    <t>Horage/Assets/Resources/Kimikoi/_bug_generated/kimikoi_config_base_bug_l2.png</t>
  </si>
  <si>
    <t>kimikoi_background_solid_black</t>
  </si>
  <si>
    <t>背景素材: kimikoi_background_solid_black</t>
  </si>
  <si>
    <t>kimikoi_background_solid_black.png</t>
  </si>
  <si>
    <t>bg_black_01</t>
  </si>
  <si>
    <t>Horage/Assets/Resources/Kimikoi/kimikoi_background_solid_black.png</t>
  </si>
  <si>
    <t>キミコイADVの背景ID定義</t>
  </si>
  <si>
    <t>kimikoi_log_slide</t>
  </si>
  <si>
    <t>UI素材: kimikoi_log_slide</t>
  </si>
  <si>
    <t>2026-05-11</t>
  </si>
  <si>
    <t>kimikoi_log_slide.png</t>
  </si>
  <si>
    <t>ui_kimikoi_log_slide</t>
  </si>
  <si>
    <t>Horage/Assets/Resources/Kimikoi/kimikoi_log_slide.png</t>
  </si>
  <si>
    <t>kimikoi_log_slidebar</t>
  </si>
  <si>
    <t>UI素材: kimikoi_log_slidebar</t>
  </si>
  <si>
    <t>kimikoi_log_slidebar.png</t>
  </si>
  <si>
    <t>ui_kimikoi_log_slidebar</t>
  </si>
  <si>
    <t>Horage/Assets/Resources/Kimikoi/kimikoi_log_slidebar.png</t>
  </si>
  <si>
    <t>デスクトップ配置0512_1</t>
  </si>
  <si>
    <t>参考画像/完成図: デスクトップ配置0512_1</t>
  </si>
  <si>
    <t>2026-05-15</t>
  </si>
  <si>
    <t>デスクトップ配置0512_1.png</t>
  </si>
  <si>
    <t>ref_desktop_0512_1</t>
  </si>
  <si>
    <t>Horage/Assets/Resources/Reference/デスクトップ配置0512_1.png</t>
  </si>
  <si>
    <t>デスクトップ配置0512_2</t>
  </si>
  <si>
    <t>参考画像/完成図: デスクトップ配置0512_2</t>
  </si>
  <si>
    <t>デスクトップ配置0512_2.png</t>
  </si>
  <si>
    <t>ref_desktop_0512_2</t>
  </si>
  <si>
    <t>Horage/Assets/Resources/Reference/デスクトップ配置0512_2.png</t>
  </si>
  <si>
    <t>デスクトップ配置0512_3</t>
  </si>
  <si>
    <t>参考画像/完成図: デスクトップ配置0512_3</t>
  </si>
  <si>
    <t>デスクトップ配置0512_3.png</t>
  </si>
  <si>
    <t>ref_desktop_0512_3</t>
  </si>
  <si>
    <t>Horage/Assets/Resources/Reference/デスクトップ配置0512_3.png</t>
  </si>
  <si>
    <t>Cursor</t>
  </si>
  <si>
    <t>UI素材: Cursor</t>
  </si>
  <si>
    <t>2026-05-23</t>
  </si>
  <si>
    <t>Cursor.png</t>
  </si>
  <si>
    <t>ui_cursor</t>
  </si>
  <si>
    <t>Horage/Assets/Resources/UI/Cursor.png</t>
  </si>
  <si>
    <t>CursorTexture</t>
  </si>
  <si>
    <t>UI素材: CursorTexture</t>
  </si>
  <si>
    <t>CursorTexture.png</t>
  </si>
  <si>
    <t>cursor_default_texture_01</t>
  </si>
  <si>
    <t>Horage/Assets/Resources/UI/CursorTexture.png</t>
  </si>
  <si>
    <t>windows_start_icon</t>
  </si>
  <si>
    <t>UI素材: windows_start_icon</t>
  </si>
  <si>
    <t>2026-05-02</t>
  </si>
  <si>
    <t>windows_start_icon.png</t>
  </si>
  <si>
    <t>ui_windows_start_icon</t>
  </si>
  <si>
    <t>Horage/Assets/Resources/UI/Desktop/windows_start_icon.png</t>
  </si>
  <si>
    <t>ホラゲデスクトップ画面調整_緑系</t>
  </si>
  <si>
    <t>UI素材: ホラゲデスクトップ画面調整_緑系</t>
  </si>
  <si>
    <t>ホラゲデスクトップ画面調整_緑系.png</t>
  </si>
  <si>
    <t>Horage/Assets/Resources/UI/Desktop/ホラゲデスクトップ画面調整_緑系.png</t>
  </si>
  <si>
    <t>ホラゲデスクトップ画面調整_赤系</t>
  </si>
  <si>
    <t>UI素材: ホラゲデスクトップ画面調整_赤系</t>
  </si>
  <si>
    <t>ホラゲデスクトップ画面調整_赤系.png</t>
  </si>
  <si>
    <t>Horage/Assets/Resources/UI/Desktop/ホラゲデスクトップ画面調整_赤系.png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</si>
</sst>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0"/>
      <color rgb="FF000000"/>
      <name val="Arial"/>
      <scheme val="minor"/>
    </font>
    <font>
      <sz val="6"/>
      <name val="Arial"/>
      <family val="3"/>
      <charset val="128"/>
      <scheme val="minor"/>
    </font>
    <font>
      <sz val="10"/>
      <color rgb="FF000000"/>
      <name val="Meiryo UI"/>
      <family val="3"/>
      <charset val="128"/>
    </font>
    <font>
      <b/>
      <sz val="10"/>
      <color theme="1"/>
      <name val="Meiryo UI"/>
      <family val="3"/>
      <charset val="128"/>
    </font>
    <font>
      <sz val="10"/>
      <color rgb="FF000000"/>
      <name val="Arial"/>
    </font>
    <font>
      <sz val="10"/>
      <color theme="1"/>
      <name val="Meiryo UI"/>
      <family val="3"/>
      <charset val="128"/>
    </font>
    <font>
      <b/>
      <sz val="25"/>
      <color rgb="FFFFFFFF"/>
      <name val="Meiryo UI"/>
      <family val="3"/>
      <charset val="128"/>
    </font>
    <font>
      <sz val="11"/>
      <color rgb="FF000000"/>
      <name val="Meiryo UI"/>
      <family val="3"/>
      <charset val="128"/>
    </font>
    <font>
      <b/>
      <sz val="13"/>
      <color rgb="FF000000"/>
      <name val="Meiryo UI"/>
      <family val="3"/>
      <charset val="128"/>
    </font>
    <font>
      <b/>
      <sz val="11"/>
      <color rgb="FF000000"/>
      <name val="Meiryo UI"/>
      <family val="3"/>
      <charset val="128"/>
    </font>
    <font>
      <sz val="20"/>
      <color rgb="FF000000"/>
      <name val="Meiryo UI"/>
      <family val="3"/>
      <charset val="128"/>
    </font>
    <font>
      <b/>
      <sz val="12"/>
      <color rgb="FF000000"/>
      <name val="Meiryo UI"/>
      <family val="3"/>
      <charset val="128"/>
    </font>
    <font>
      <b/>
      <sz val="12"/>
      <name val="Meiryo"/>
      <family val="3"/>
      <charset val="128"/>
    </font>
    <font>
      <sz val="10"/>
      <name val="Meiryo"/>
      <family val="3"/>
      <charset val="128"/>
    </font>
    <font>
      <b/>
      <sz val="10"/>
      <name val="Meiryo"/>
      <family val="3"/>
      <charset val="128"/>
    </font>
    <font>
      <b/>
      <sz val="14"/>
      <name val="Meiryo"/>
      <family val="3"/>
      <charset val="128"/>
    </font>
    <font>
      <b/>
      <sz val="10"/>
      <name val="Meiryo UI"/>
      <family val="3"/>
      <charset val="128"/>
    </font>
    <font>
      <sz val="10"/>
      <name val="Meiryo UI"/>
      <family val="3"/>
      <charset val="128"/>
    </font>
  </fonts>
  <fills count="15">
    <fill>
      <patternFill patternType="none"/>
    </fill>
    <fill>
      <patternFill patternType="gray125"/>
    </fill>
    <fill>
      <patternFill patternType="solid">
        <fgColor rgb="FFFFFF00"/>
        <bgColor rgb="FFFFFF00"/>
      </patternFill>
    </fill>
    <fill>
      <patternFill patternType="solid">
        <fgColor rgb="FF4D93D9"/>
        <bgColor rgb="FF4D93D9"/>
      </patternFill>
    </fill>
    <fill>
      <patternFill patternType="solid">
        <fgColor rgb="FFC0E6F5"/>
        <bgColor rgb="FFC0E6F5"/>
      </patternFill>
    </fill>
    <fill>
      <patternFill patternType="solid">
        <fgColor rgb="FFFFE599"/>
        <bgColor rgb="FFFFE599"/>
      </patternFill>
    </fill>
    <fill>
      <patternFill patternType="solid">
        <fgColor rgb="FFFFFFFF"/>
        <bgColor rgb="FFFFFFFF"/>
      </patternFill>
    </fill>
    <fill>
      <patternFill patternType="solid">
        <fgColor rgb="FFEEF7E3"/>
        <bgColor rgb="FFEEF7E3"/>
      </patternFill>
    </fill>
    <fill>
      <patternFill patternType="solid">
        <fgColor rgb="FFFFF2CC"/>
      </patternFill>
    </fill>
    <fill>
      <patternFill patternType="solid">
        <fgColor rgb="FFFCE5CD"/>
      </patternFill>
    </fill>
    <fill>
      <patternFill patternType="solid">
        <fgColor rgb="FFF4CCCC"/>
      </patternFill>
    </fill>
    <fill>
      <patternFill patternType="solid">
        <fgColor rgb="FFD9EAD3"/>
      </patternFill>
    </fill>
    <fill>
      <patternFill patternType="solid">
        <fgColor rgb="FFF3F6FA"/>
      </patternFill>
    </fill>
    <fill>
      <patternFill patternType="solid">
        <fgColor rgb="FFD9EAF7"/>
      </patternFill>
    </fill>
    <fill>
      <patternFill patternType="solid">
        <fgColor rgb="FFB7D7F0"/>
      </patternFill>
    </fill>
  </fills>
  <borders count="6">
    <border>
      <left/>
      <right/>
      <top/>
      <bottom/>
      <diagonal/>
    </border>
    <border>
      <left/>
      <right style="medium">
        <color rgb="FF000000"/>
      </right>
      <top/>
      <bottom style="thin">
        <color rgb="FF000000"/>
      </bottom>
      <diagonal/>
    </border>
    <border>
      <left/>
      <right style="medium">
        <color rgb="FF000000"/>
      </right>
      <top/>
      <bottom/>
      <diagonal/>
    </border>
    <border>
      <left style="thin">
        <color rgb="FFD9D9D9"/>
      </left>
      <right style="thin">
        <color rgb="FFD9D9D9"/>
      </right>
      <top style="thin">
        <color rgb="FFD9D9D9"/>
      </top>
      <bottom style="thin">
        <color rgb="FFD9D9D9"/>
      </bottom>
      <diagonal/>
    </border>
    <border>
      <left style="thin">
        <color rgb="FFD0D7DE"/>
      </left>
      <right style="thin">
        <color rgb="FFD0D7DE"/>
      </right>
      <top style="thin">
        <color rgb="FFD0D7DE"/>
      </top>
      <bottom style="thin">
        <color rgb="FFD0D7DE"/>
      </bottom>
      <diagonal/>
    </border>
    <border>
      <left/>
      <right/>
      <top/>
      <bottom/>
      <diagonal/>
    </border>
  </borders>
  <cellStyleXfs count="1">
    <xf numFmtId="0" fontId="0" fillId="0" borderId="0"/>
  </cellStyleXfs>
  <cellXfs count="41">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left" vertical="center"/>
    </xf>
    <xf numFmtId="0" fontId="5" fillId="0" borderId="2" xfId="0" applyFont="1" applyBorder="1" applyAlignment="1">
      <alignment horizontal="center" vertical="center"/>
    </xf>
    <xf numFmtId="0" fontId="6" fillId="3" borderId="0" xfId="0" applyFont="1" applyFill="1" applyAlignment="1">
      <alignment horizontal="center" vertical="center"/>
    </xf>
    <xf numFmtId="0" fontId="7" fillId="0" borderId="0" xfId="0" applyFont="1" applyAlignment="1">
      <alignment horizontal="left" vertical="center"/>
    </xf>
    <xf numFmtId="0" fontId="8" fillId="4" borderId="0" xfId="0" applyFont="1" applyFill="1" applyAlignment="1">
      <alignment horizontal="left" vertical="center"/>
    </xf>
    <xf numFmtId="0" fontId="3" fillId="0" borderId="0" xfId="0" applyFont="1" applyAlignment="1">
      <alignment horizontal="left" vertical="center"/>
    </xf>
    <xf numFmtId="0" fontId="7" fillId="5" borderId="0" xfId="0" applyFont="1" applyFill="1" applyAlignment="1">
      <alignment horizontal="left" vertical="center"/>
    </xf>
    <xf numFmtId="0" fontId="5" fillId="5" borderId="0" xfId="0" applyFont="1" applyFill="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0" fontId="13" fillId="0" borderId="5" xfId="0" applyFont="1" applyBorder="1" applyAlignment="1">
      <alignment horizontal="left" vertical="center"/>
    </xf>
    <xf numFmtId="0" fontId="14" fillId="12" borderId="4" xfId="0" applyFont="1" applyFill="1" applyBorder="1" applyAlignment="1">
      <alignment horizontal="center" vertical="center"/>
    </xf>
    <xf numFmtId="0" fontId="13" fillId="0" borderId="4" xfId="0" applyFont="1" applyBorder="1" applyAlignment="1">
      <alignment horizontal="center" vertical="center"/>
    </xf>
    <xf numFmtId="0" fontId="2" fillId="0" borderId="0" xfId="0" applyFont="1" applyAlignment="1">
      <alignment horizontal="left" vertical="top"/>
    </xf>
    <xf numFmtId="0" fontId="16" fillId="13" borderId="0" xfId="0" applyFont="1" applyFill="1" applyAlignment="1">
      <alignment horizontal="left" vertical="top"/>
    </xf>
    <xf numFmtId="0" fontId="16" fillId="13" borderId="3" xfId="0" applyFont="1" applyFill="1" applyBorder="1" applyAlignment="1">
      <alignment horizontal="left" vertical="top"/>
    </xf>
    <xf numFmtId="0" fontId="17" fillId="0" borderId="0" xfId="0" applyFont="1" applyAlignment="1">
      <alignment horizontal="left" vertical="top"/>
    </xf>
    <xf numFmtId="0" fontId="17" fillId="0" borderId="3" xfId="0" applyFont="1" applyBorder="1" applyAlignment="1">
      <alignment horizontal="left" vertical="top"/>
    </xf>
    <xf numFmtId="0" fontId="17" fillId="6" borderId="3" xfId="0" applyFont="1" applyFill="1" applyBorder="1" applyAlignment="1">
      <alignment horizontal="left" vertical="top"/>
    </xf>
    <xf numFmtId="0" fontId="17" fillId="8" borderId="3" xfId="0" applyFont="1" applyFill="1" applyBorder="1" applyAlignment="1">
      <alignment horizontal="left" vertical="top"/>
    </xf>
    <xf numFmtId="0" fontId="17" fillId="6" borderId="0" xfId="0" applyFont="1" applyFill="1" applyAlignment="1">
      <alignment horizontal="left" vertical="top"/>
    </xf>
    <xf numFmtId="0" fontId="17" fillId="7" borderId="3" xfId="0" applyFont="1" applyFill="1" applyBorder="1" applyAlignment="1">
      <alignment horizontal="left" vertical="top"/>
    </xf>
    <xf numFmtId="0" fontId="17" fillId="7" borderId="0" xfId="0" applyFont="1" applyFill="1" applyAlignment="1">
      <alignment horizontal="left" vertical="top"/>
    </xf>
    <xf numFmtId="0" fontId="17" fillId="8" borderId="0" xfId="0" applyFont="1" applyFill="1" applyAlignment="1">
      <alignment horizontal="left" vertical="top"/>
    </xf>
    <xf numFmtId="0" fontId="17" fillId="9" borderId="0" xfId="0" applyFont="1" applyFill="1" applyAlignment="1">
      <alignment horizontal="left" vertical="top"/>
    </xf>
    <xf numFmtId="0" fontId="17" fillId="10" borderId="0" xfId="0" applyFont="1" applyFill="1" applyAlignment="1">
      <alignment horizontal="left" vertical="top"/>
    </xf>
    <xf numFmtId="0" fontId="8" fillId="4" borderId="0" xfId="0" applyFont="1" applyFill="1" applyAlignment="1">
      <alignment horizontal="left" vertical="center"/>
    </xf>
    <xf numFmtId="0" fontId="0" fillId="0" borderId="0" xfId="0"/>
    <xf numFmtId="0" fontId="10"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horizontal="left" vertical="center"/>
    </xf>
    <xf numFmtId="0" fontId="6" fillId="3" borderId="0" xfId="0" applyFont="1" applyFill="1" applyAlignment="1">
      <alignment horizontal="center" vertical="center"/>
    </xf>
    <xf numFmtId="0" fontId="7" fillId="5" borderId="0" xfId="0" applyFont="1" applyFill="1" applyAlignment="1">
      <alignment horizontal="left" vertical="center"/>
    </xf>
    <xf numFmtId="0" fontId="11" fillId="0" borderId="0" xfId="0" applyFont="1" applyAlignment="1">
      <alignment horizontal="left" vertical="center"/>
    </xf>
    <xf numFmtId="0" fontId="15" fillId="14" borderId="5" xfId="0" applyFont="1" applyFill="1" applyBorder="1" applyAlignment="1">
      <alignment horizontal="left" vertical="center"/>
    </xf>
    <xf numFmtId="0" fontId="12" fillId="11" borderId="5" xfId="0" applyFont="1" applyFill="1" applyBorder="1" applyAlignment="1">
      <alignment horizontal="left" vertical="center"/>
    </xf>
    <xf numFmtId="0" fontId="2" fillId="0" borderId="0" xfId="0" applyFont="1" applyAlignment="1">
      <alignment horizontal="left" vertical="top"/>
    </xf>
  </cellXfs>
  <cellStyles count="1">
    <cellStyle name="標準" xfId="0" builtinId="0"/>
  </cellStyles>
  <dxfs count="6">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2" defaultTableStyle="TableStyleMedium9" defaultPivotStyle="PivotStyleLight16">
    <tableStyle name="音声-style" pivot="0" count="3">
      <tableStyleElement type="headerRow" dxfId="5"/>
      <tableStyleElement type="firstRowStripe" dxfId="4"/>
      <tableStyleElement type="secondRowStripe" dxfId="3"/>
    </tableStyle>
    <tableStyle name="イラスト-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6"/>
  <sheetViews>
    <sheetView showGridLines="0" workbookViewId="0">
      <selection activeCell="D73" sqref="D73:K73"/>
    </sheetView>
  </sheetViews>
  <sheetFormatPr defaultColWidth="12.5703125" defaultRowHeight="15.75" customHeight="1"/>
  <cols>
    <col min="1" max="1" width="12" style="1" customWidth="1"/>
    <col min="2" max="2" width="4" style="1" customWidth="1"/>
    <col min="3" max="3" width="72" customWidth="1"/>
    <col min="4" max="4" width="54" customWidth="1"/>
    <col min="5" max="5" width="48" customWidth="1"/>
    <col min="6" max="26" width="14" customWidth="1"/>
    <col min="27" max="27" width="12.5703125" style="1" customWidth="1"/>
    <col min="28" max="16384" width="12.5703125" style="1"/>
  </cols>
  <sheetData>
    <row r="1" spans="1:26" ht="14.25" customHeight="1">
      <c r="A1" s="2" t="s">
        <v>0</v>
      </c>
      <c r="B1" s="3"/>
      <c r="C1" s="3"/>
      <c r="D1" s="3"/>
      <c r="E1" s="3"/>
      <c r="F1" s="3"/>
      <c r="G1" s="3"/>
      <c r="H1" s="3"/>
      <c r="I1" s="3"/>
      <c r="J1" s="3"/>
      <c r="K1" s="3"/>
      <c r="L1" s="3"/>
      <c r="M1" s="3"/>
      <c r="N1" s="3"/>
      <c r="O1" s="3"/>
      <c r="P1" s="3"/>
      <c r="Q1" s="3"/>
      <c r="R1" s="3"/>
      <c r="S1" s="3"/>
      <c r="T1" s="3"/>
      <c r="U1" s="3"/>
      <c r="V1" s="3"/>
      <c r="W1" s="3"/>
      <c r="X1" s="3"/>
      <c r="Y1" s="3"/>
      <c r="Z1" s="3"/>
    </row>
    <row r="2" spans="1:26" ht="21.95" customHeight="1">
      <c r="A2" s="4"/>
      <c r="B2" s="5"/>
      <c r="C2" s="35" t="s">
        <v>1</v>
      </c>
      <c r="D2" s="31"/>
      <c r="E2" s="31"/>
      <c r="F2" s="31"/>
      <c r="G2" s="31"/>
      <c r="H2" s="31"/>
      <c r="I2" s="31"/>
      <c r="J2" s="31"/>
      <c r="K2" s="31"/>
      <c r="L2" s="31"/>
      <c r="M2" s="31"/>
      <c r="N2" s="31"/>
      <c r="O2" s="31"/>
      <c r="P2" s="31"/>
      <c r="Q2" s="31"/>
      <c r="R2" s="31"/>
      <c r="S2" s="31"/>
      <c r="T2" s="31"/>
      <c r="U2" s="31"/>
      <c r="V2" s="31"/>
      <c r="W2" s="31"/>
      <c r="X2" s="31"/>
      <c r="Y2" s="31"/>
      <c r="Z2" s="31"/>
    </row>
    <row r="3" spans="1:26">
      <c r="A3" s="4"/>
      <c r="B3" s="6"/>
      <c r="C3" s="6"/>
      <c r="D3" s="6"/>
      <c r="E3" s="6"/>
      <c r="F3" s="6"/>
      <c r="G3" s="6"/>
      <c r="H3" s="6"/>
      <c r="I3" s="6"/>
      <c r="J3" s="6"/>
      <c r="K3" s="6"/>
      <c r="L3" s="6"/>
      <c r="M3" s="6"/>
      <c r="N3" s="6"/>
      <c r="O3" s="6"/>
      <c r="P3" s="6"/>
      <c r="Q3" s="6"/>
      <c r="R3" s="6"/>
      <c r="S3" s="6"/>
      <c r="T3" s="6"/>
      <c r="U3" s="3"/>
      <c r="V3" s="3"/>
      <c r="W3" s="3"/>
      <c r="X3" s="3"/>
      <c r="Y3" s="3"/>
      <c r="Z3" s="3"/>
    </row>
    <row r="4" spans="1:26" ht="22.5" customHeight="1">
      <c r="A4" s="4"/>
      <c r="B4" s="7"/>
      <c r="C4" s="30" t="s">
        <v>2</v>
      </c>
      <c r="D4" s="31"/>
      <c r="E4" s="31"/>
      <c r="F4" s="31"/>
      <c r="G4" s="31"/>
      <c r="H4" s="31"/>
      <c r="I4" s="31"/>
      <c r="J4" s="31"/>
      <c r="K4" s="31"/>
      <c r="L4" s="31"/>
      <c r="M4" s="31"/>
      <c r="N4" s="31"/>
      <c r="O4" s="31"/>
      <c r="P4" s="31"/>
      <c r="Q4" s="31"/>
      <c r="R4" s="31"/>
      <c r="S4" s="31"/>
      <c r="T4" s="31"/>
      <c r="U4" s="31"/>
      <c r="V4" s="31"/>
      <c r="W4" s="31"/>
      <c r="X4" s="31"/>
      <c r="Y4" s="31"/>
      <c r="Z4" s="31"/>
    </row>
    <row r="5" spans="1:26">
      <c r="A5" s="4"/>
      <c r="B5" s="6"/>
      <c r="C5" s="6"/>
      <c r="D5" s="6"/>
      <c r="E5" s="6"/>
      <c r="F5" s="6"/>
      <c r="G5" s="6"/>
      <c r="H5" s="6"/>
      <c r="I5" s="6"/>
      <c r="J5" s="6"/>
      <c r="K5" s="6"/>
      <c r="L5" s="6"/>
      <c r="M5" s="6"/>
      <c r="N5" s="6"/>
      <c r="O5" s="6"/>
      <c r="P5" s="6"/>
      <c r="Q5" s="6"/>
      <c r="R5" s="6"/>
      <c r="S5" s="6"/>
      <c r="T5" s="6"/>
      <c r="U5" s="3"/>
      <c r="V5" s="3"/>
      <c r="W5" s="3"/>
      <c r="X5" s="3"/>
      <c r="Y5" s="3"/>
      <c r="Z5" s="3"/>
    </row>
    <row r="6" spans="1:26" ht="14.25" customHeight="1">
      <c r="A6" s="4"/>
      <c r="B6" s="3"/>
      <c r="C6" s="8" t="s">
        <v>3</v>
      </c>
      <c r="D6" s="3"/>
      <c r="E6" s="3"/>
      <c r="F6" s="3"/>
      <c r="G6" s="3"/>
      <c r="H6" s="3"/>
      <c r="I6" s="3"/>
      <c r="J6" s="3"/>
      <c r="K6" s="3"/>
      <c r="L6" s="3"/>
      <c r="M6" s="3"/>
      <c r="N6" s="3"/>
      <c r="O6" s="3"/>
      <c r="P6" s="3"/>
      <c r="Q6" s="3"/>
      <c r="R6" s="3"/>
      <c r="S6" s="3"/>
      <c r="T6" s="3"/>
      <c r="U6" s="3"/>
      <c r="V6" s="3"/>
      <c r="W6" s="3"/>
      <c r="X6" s="3"/>
      <c r="Y6" s="3"/>
      <c r="Z6" s="3"/>
    </row>
    <row r="7" spans="1:26" ht="14.25" customHeight="1">
      <c r="A7" s="4"/>
      <c r="B7" s="3"/>
      <c r="C7" s="3"/>
      <c r="D7" s="3"/>
      <c r="E7" s="3"/>
      <c r="F7" s="3"/>
      <c r="G7" s="3"/>
      <c r="H7" s="3"/>
      <c r="I7" s="3"/>
      <c r="J7" s="3"/>
      <c r="K7" s="3"/>
      <c r="L7" s="3"/>
      <c r="M7" s="3"/>
      <c r="N7" s="3"/>
      <c r="O7" s="3"/>
      <c r="P7" s="3"/>
      <c r="Q7" s="3"/>
      <c r="R7" s="3"/>
      <c r="S7" s="3"/>
      <c r="T7" s="3"/>
      <c r="U7" s="3"/>
      <c r="V7" s="3"/>
      <c r="W7" s="3"/>
      <c r="X7" s="3"/>
      <c r="Y7" s="3"/>
      <c r="Z7" s="3"/>
    </row>
    <row r="8" spans="1:26">
      <c r="A8" s="4"/>
      <c r="B8" s="6"/>
      <c r="C8" s="36" t="s">
        <v>4</v>
      </c>
      <c r="D8" s="31"/>
      <c r="E8" s="31"/>
      <c r="F8" s="9"/>
      <c r="G8" s="9"/>
      <c r="H8" s="9"/>
      <c r="I8" s="9"/>
      <c r="J8" s="9"/>
      <c r="K8" s="9"/>
      <c r="L8" s="9"/>
      <c r="M8" s="9"/>
      <c r="N8" s="9"/>
      <c r="O8" s="9"/>
      <c r="P8" s="9"/>
      <c r="Q8" s="9"/>
      <c r="R8" s="9"/>
      <c r="S8" s="9"/>
      <c r="T8" s="9"/>
      <c r="U8" s="10"/>
      <c r="V8" s="3"/>
      <c r="W8" s="3"/>
      <c r="X8" s="3"/>
      <c r="Y8" s="3"/>
      <c r="Z8" s="3"/>
    </row>
    <row r="9" spans="1:26">
      <c r="A9" s="4"/>
      <c r="B9" s="6"/>
      <c r="C9" s="36" t="s">
        <v>5</v>
      </c>
      <c r="D9" s="31"/>
      <c r="E9" s="31"/>
      <c r="F9" s="31"/>
      <c r="G9" s="31"/>
      <c r="H9" s="31"/>
      <c r="I9" s="31"/>
      <c r="J9" s="31"/>
      <c r="K9" s="31"/>
      <c r="L9" s="31"/>
      <c r="M9" s="31"/>
      <c r="N9" s="31"/>
      <c r="O9" s="31"/>
      <c r="P9" s="31"/>
      <c r="Q9" s="31"/>
      <c r="R9" s="31"/>
      <c r="S9" s="31"/>
      <c r="T9" s="9"/>
      <c r="U9" s="10"/>
      <c r="V9" s="3"/>
      <c r="W9" s="3"/>
      <c r="X9" s="3"/>
      <c r="Y9" s="3"/>
      <c r="Z9" s="3"/>
    </row>
    <row r="10" spans="1:26">
      <c r="A10" s="4"/>
      <c r="B10" s="6"/>
      <c r="C10" s="36" t="s">
        <v>6</v>
      </c>
      <c r="D10" s="31"/>
      <c r="E10" s="31"/>
      <c r="F10" s="31"/>
      <c r="G10" s="31"/>
      <c r="H10" s="31"/>
      <c r="I10" s="31"/>
      <c r="J10" s="31"/>
      <c r="K10" s="31"/>
      <c r="L10" s="31"/>
      <c r="M10" s="31"/>
      <c r="N10" s="31"/>
      <c r="O10" s="31"/>
      <c r="P10" s="31"/>
      <c r="Q10" s="31"/>
      <c r="R10" s="9"/>
      <c r="S10" s="9"/>
      <c r="T10" s="9"/>
      <c r="U10" s="10"/>
      <c r="V10" s="3"/>
      <c r="W10" s="3"/>
      <c r="X10" s="3"/>
      <c r="Y10" s="3"/>
      <c r="Z10" s="3"/>
    </row>
    <row r="11" spans="1:26">
      <c r="A11" s="4"/>
      <c r="B11" s="6"/>
      <c r="C11" s="36" t="s">
        <v>7</v>
      </c>
      <c r="D11" s="31"/>
      <c r="E11" s="31"/>
      <c r="F11" s="31"/>
      <c r="G11" s="31"/>
      <c r="H11" s="31"/>
      <c r="I11" s="31"/>
      <c r="J11" s="31"/>
      <c r="K11" s="31"/>
      <c r="L11" s="31"/>
      <c r="M11" s="31"/>
      <c r="N11" s="31"/>
      <c r="O11" s="9"/>
      <c r="P11" s="9"/>
      <c r="Q11" s="9"/>
      <c r="R11" s="9"/>
      <c r="S11" s="9"/>
      <c r="T11" s="9"/>
      <c r="U11" s="10"/>
      <c r="V11" s="3"/>
      <c r="W11" s="3"/>
      <c r="X11" s="3"/>
      <c r="Y11" s="3"/>
      <c r="Z11" s="3"/>
    </row>
    <row r="12" spans="1:26">
      <c r="A12" s="4"/>
      <c r="B12" s="6"/>
      <c r="C12" s="9"/>
      <c r="D12" s="9"/>
      <c r="E12" s="9"/>
      <c r="F12" s="9"/>
      <c r="G12" s="9"/>
      <c r="H12" s="9"/>
      <c r="I12" s="9"/>
      <c r="J12" s="9"/>
      <c r="K12" s="9"/>
      <c r="L12" s="9"/>
      <c r="M12" s="9"/>
      <c r="N12" s="9"/>
      <c r="O12" s="9"/>
      <c r="P12" s="9"/>
      <c r="Q12" s="9"/>
      <c r="R12" s="9"/>
      <c r="S12" s="9"/>
      <c r="T12" s="9"/>
      <c r="U12" s="10"/>
      <c r="V12" s="3"/>
      <c r="W12" s="3"/>
      <c r="X12" s="3"/>
      <c r="Y12" s="3"/>
      <c r="Z12" s="3"/>
    </row>
    <row r="13" spans="1:26">
      <c r="A13" s="4"/>
      <c r="B13" s="6"/>
      <c r="C13" s="36" t="s">
        <v>8</v>
      </c>
      <c r="D13" s="31"/>
      <c r="E13" s="31"/>
      <c r="F13" s="31"/>
      <c r="G13" s="31"/>
      <c r="H13" s="31"/>
      <c r="I13" s="31"/>
      <c r="J13" s="31"/>
      <c r="K13" s="31"/>
      <c r="L13" s="31"/>
      <c r="M13" s="31"/>
      <c r="N13" s="31"/>
      <c r="O13" s="31"/>
      <c r="P13" s="31"/>
      <c r="Q13" s="31"/>
      <c r="R13" s="31"/>
      <c r="S13" s="31"/>
      <c r="T13" s="31"/>
      <c r="U13" s="10"/>
      <c r="V13" s="3"/>
      <c r="W13" s="3"/>
      <c r="X13" s="3"/>
      <c r="Y13" s="3"/>
      <c r="Z13" s="3"/>
    </row>
    <row r="14" spans="1:26">
      <c r="A14" s="4"/>
      <c r="B14" s="6"/>
      <c r="C14" s="36" t="s">
        <v>9</v>
      </c>
      <c r="D14" s="31"/>
      <c r="E14" s="31"/>
      <c r="F14" s="31"/>
      <c r="G14" s="31"/>
      <c r="H14" s="31"/>
      <c r="I14" s="31"/>
      <c r="J14" s="31"/>
      <c r="K14" s="31"/>
      <c r="L14" s="31"/>
      <c r="M14" s="31"/>
      <c r="N14" s="31"/>
      <c r="O14" s="31"/>
      <c r="P14" s="31"/>
      <c r="Q14" s="9"/>
      <c r="R14" s="9"/>
      <c r="S14" s="9"/>
      <c r="T14" s="9"/>
      <c r="U14" s="10"/>
      <c r="V14" s="3"/>
      <c r="W14" s="3"/>
      <c r="X14" s="3"/>
      <c r="Y14" s="3"/>
      <c r="Z14" s="3"/>
    </row>
    <row r="15" spans="1:26">
      <c r="A15" s="4"/>
      <c r="B15" s="6"/>
      <c r="C15" s="36" t="s">
        <v>10</v>
      </c>
      <c r="D15" s="31"/>
      <c r="E15" s="31"/>
      <c r="F15" s="31"/>
      <c r="G15" s="31"/>
      <c r="H15" s="31"/>
      <c r="I15" s="31"/>
      <c r="J15" s="31"/>
      <c r="K15" s="31"/>
      <c r="L15" s="31"/>
      <c r="M15" s="31"/>
      <c r="N15" s="31"/>
      <c r="O15" s="9"/>
      <c r="P15" s="9"/>
      <c r="Q15" s="9"/>
      <c r="R15" s="9"/>
      <c r="S15" s="9"/>
      <c r="T15" s="9"/>
      <c r="U15" s="10"/>
      <c r="V15" s="3"/>
      <c r="W15" s="3"/>
      <c r="X15" s="3"/>
      <c r="Y15" s="3"/>
      <c r="Z15" s="3"/>
    </row>
    <row r="16" spans="1:26">
      <c r="A16" s="4"/>
      <c r="B16" s="6"/>
      <c r="C16" s="6"/>
      <c r="D16" s="6"/>
      <c r="E16" s="6"/>
      <c r="F16" s="6"/>
      <c r="G16" s="6"/>
      <c r="H16" s="6"/>
      <c r="I16" s="6"/>
      <c r="J16" s="6"/>
      <c r="K16" s="6"/>
      <c r="L16" s="6"/>
      <c r="M16" s="6"/>
      <c r="N16" s="6"/>
      <c r="O16" s="6"/>
      <c r="P16" s="6"/>
      <c r="Q16" s="6"/>
      <c r="R16" s="6"/>
      <c r="S16" s="6"/>
      <c r="T16" s="6"/>
      <c r="U16" s="3"/>
      <c r="V16" s="3"/>
      <c r="W16" s="3"/>
      <c r="X16" s="3"/>
      <c r="Y16" s="3"/>
      <c r="Z16" s="3"/>
    </row>
    <row r="17" spans="1:26">
      <c r="A17" s="4"/>
      <c r="B17" s="11"/>
      <c r="C17" s="34" t="s">
        <v>11</v>
      </c>
      <c r="D17" s="31"/>
      <c r="E17" s="31"/>
      <c r="F17" s="31"/>
      <c r="G17" s="31"/>
      <c r="H17" s="31"/>
      <c r="I17" s="6"/>
      <c r="J17" s="6"/>
      <c r="K17" s="6"/>
      <c r="L17" s="6"/>
      <c r="M17" s="6"/>
      <c r="N17" s="6"/>
      <c r="O17" s="6"/>
      <c r="P17" s="6"/>
      <c r="Q17" s="6"/>
      <c r="R17" s="6"/>
      <c r="S17" s="6"/>
      <c r="T17" s="6"/>
      <c r="U17" s="3"/>
      <c r="V17" s="3"/>
      <c r="W17" s="3"/>
      <c r="X17" s="3"/>
      <c r="Y17" s="3"/>
      <c r="Z17" s="3"/>
    </row>
    <row r="18" spans="1:26">
      <c r="A18" s="4"/>
      <c r="B18" s="6"/>
      <c r="C18" s="33" t="s">
        <v>12</v>
      </c>
      <c r="D18" s="31"/>
      <c r="E18" s="31"/>
      <c r="F18" s="6"/>
      <c r="G18" s="6"/>
      <c r="H18" s="6"/>
      <c r="I18" s="6"/>
      <c r="J18" s="6"/>
      <c r="K18" s="6"/>
      <c r="L18" s="6"/>
      <c r="M18" s="6"/>
      <c r="N18" s="6"/>
      <c r="O18" s="6"/>
      <c r="P18" s="6"/>
      <c r="Q18" s="6"/>
      <c r="R18" s="6"/>
      <c r="S18" s="6"/>
      <c r="T18" s="6"/>
      <c r="U18" s="3"/>
      <c r="V18" s="3"/>
      <c r="W18" s="3"/>
      <c r="X18" s="3"/>
      <c r="Y18" s="3"/>
      <c r="Z18" s="3"/>
    </row>
    <row r="19" spans="1:26">
      <c r="A19" s="4"/>
      <c r="B19" s="6"/>
      <c r="C19" s="33" t="s">
        <v>13</v>
      </c>
      <c r="D19" s="31"/>
      <c r="E19" s="31"/>
      <c r="F19" s="6"/>
      <c r="G19" s="6"/>
      <c r="H19" s="6"/>
      <c r="I19" s="6"/>
      <c r="J19" s="6"/>
      <c r="K19" s="6"/>
      <c r="L19" s="6"/>
      <c r="M19" s="6"/>
      <c r="N19" s="6"/>
      <c r="O19" s="6"/>
      <c r="P19" s="6"/>
      <c r="Q19" s="6"/>
      <c r="R19" s="6"/>
      <c r="S19" s="6"/>
      <c r="T19" s="6"/>
      <c r="U19" s="3"/>
      <c r="V19" s="3"/>
      <c r="W19" s="3"/>
      <c r="X19" s="3"/>
      <c r="Y19" s="3"/>
      <c r="Z19" s="3"/>
    </row>
    <row r="20" spans="1:26">
      <c r="A20" s="4"/>
      <c r="B20" s="6"/>
      <c r="C20" s="33" t="s">
        <v>14</v>
      </c>
      <c r="D20" s="31"/>
      <c r="E20" s="31"/>
      <c r="F20" s="31"/>
      <c r="G20" s="31"/>
      <c r="H20" s="31"/>
      <c r="I20" s="6"/>
      <c r="J20" s="6"/>
      <c r="K20" s="6"/>
      <c r="L20" s="6"/>
      <c r="M20" s="6"/>
      <c r="N20" s="6"/>
      <c r="O20" s="6"/>
      <c r="P20" s="6"/>
      <c r="Q20" s="6"/>
      <c r="R20" s="6"/>
      <c r="S20" s="6"/>
      <c r="T20" s="6"/>
      <c r="U20" s="3"/>
      <c r="V20" s="3"/>
      <c r="W20" s="3"/>
      <c r="X20" s="3"/>
      <c r="Y20" s="3"/>
      <c r="Z20" s="3"/>
    </row>
    <row r="21" spans="1:26">
      <c r="A21" s="4"/>
      <c r="B21" s="6"/>
      <c r="C21" s="6"/>
      <c r="D21" s="33" t="s">
        <v>15</v>
      </c>
      <c r="E21" s="31"/>
      <c r="F21" s="31"/>
      <c r="G21" s="31"/>
      <c r="H21" s="31"/>
      <c r="I21" s="31"/>
      <c r="J21" s="6"/>
      <c r="K21" s="6"/>
      <c r="L21" s="6"/>
      <c r="M21" s="6"/>
      <c r="N21" s="6"/>
      <c r="O21" s="6"/>
      <c r="P21" s="6"/>
      <c r="Q21" s="6"/>
      <c r="R21" s="6"/>
      <c r="S21" s="6"/>
      <c r="T21" s="6"/>
      <c r="U21" s="3"/>
      <c r="V21" s="3"/>
      <c r="W21" s="3"/>
      <c r="X21" s="3"/>
      <c r="Y21" s="3"/>
      <c r="Z21" s="3"/>
    </row>
    <row r="22" spans="1:26">
      <c r="A22" s="4"/>
      <c r="B22" s="6"/>
      <c r="C22" s="6"/>
      <c r="D22" s="33" t="s">
        <v>16</v>
      </c>
      <c r="E22" s="31"/>
      <c r="F22" s="31"/>
      <c r="G22" s="31"/>
      <c r="H22" s="31"/>
      <c r="I22" s="6"/>
      <c r="J22" s="6"/>
      <c r="K22" s="6"/>
      <c r="L22" s="6"/>
      <c r="M22" s="6"/>
      <c r="N22" s="6"/>
      <c r="O22" s="6"/>
      <c r="P22" s="6"/>
      <c r="Q22" s="6"/>
      <c r="R22" s="6"/>
      <c r="S22" s="6"/>
      <c r="T22" s="6"/>
      <c r="U22" s="3"/>
      <c r="V22" s="3"/>
      <c r="W22" s="3"/>
      <c r="X22" s="3"/>
      <c r="Y22" s="3"/>
      <c r="Z22" s="3"/>
    </row>
    <row r="23" spans="1:26">
      <c r="A23" s="4"/>
      <c r="B23" s="6"/>
      <c r="C23" s="33" t="s">
        <v>17</v>
      </c>
      <c r="D23" s="31"/>
      <c r="E23" s="31"/>
      <c r="F23" s="31"/>
      <c r="G23" s="6"/>
      <c r="H23" s="6"/>
      <c r="I23" s="6"/>
      <c r="J23" s="6"/>
      <c r="K23" s="6"/>
      <c r="L23" s="6"/>
      <c r="M23" s="6"/>
      <c r="N23" s="6"/>
      <c r="O23" s="6"/>
      <c r="P23" s="6"/>
      <c r="Q23" s="6"/>
      <c r="R23" s="6"/>
      <c r="S23" s="6"/>
      <c r="T23" s="6"/>
      <c r="U23" s="3"/>
      <c r="V23" s="3"/>
      <c r="W23" s="3"/>
      <c r="X23" s="3"/>
      <c r="Y23" s="3"/>
      <c r="Z23" s="3"/>
    </row>
    <row r="24" spans="1:26">
      <c r="A24" s="4"/>
      <c r="B24" s="6"/>
      <c r="C24" s="33" t="s">
        <v>18</v>
      </c>
      <c r="D24" s="31"/>
      <c r="E24" s="31"/>
      <c r="F24" s="31"/>
      <c r="G24" s="31"/>
      <c r="H24" s="31"/>
      <c r="I24" s="31"/>
      <c r="J24" s="31"/>
      <c r="K24" s="31"/>
      <c r="L24" s="6"/>
      <c r="M24" s="6"/>
      <c r="N24" s="6"/>
      <c r="O24" s="6"/>
      <c r="P24" s="6"/>
      <c r="Q24" s="6"/>
      <c r="R24" s="6"/>
      <c r="S24" s="6"/>
      <c r="T24" s="6"/>
      <c r="U24" s="3"/>
      <c r="V24" s="3"/>
      <c r="W24" s="3"/>
      <c r="X24" s="3"/>
      <c r="Y24" s="3"/>
      <c r="Z24" s="3"/>
    </row>
    <row r="25" spans="1:26">
      <c r="A25" s="4"/>
      <c r="B25" s="6"/>
      <c r="C25" s="33" t="s">
        <v>19</v>
      </c>
      <c r="D25" s="31"/>
      <c r="E25" s="31"/>
      <c r="F25" s="31"/>
      <c r="G25" s="31"/>
      <c r="H25" s="31"/>
      <c r="I25" s="6"/>
      <c r="J25" s="6"/>
      <c r="K25" s="6"/>
      <c r="L25" s="6"/>
      <c r="M25" s="6"/>
      <c r="N25" s="6"/>
      <c r="O25" s="6"/>
      <c r="P25" s="6"/>
      <c r="Q25" s="6"/>
      <c r="R25" s="6"/>
      <c r="S25" s="6"/>
      <c r="T25" s="6"/>
      <c r="U25" s="3"/>
      <c r="V25" s="3"/>
      <c r="W25" s="3"/>
      <c r="X25" s="3"/>
      <c r="Y25" s="3"/>
      <c r="Z25" s="3"/>
    </row>
    <row r="26" spans="1:26">
      <c r="A26" s="4"/>
      <c r="B26" s="6"/>
      <c r="C26" s="33" t="s">
        <v>20</v>
      </c>
      <c r="D26" s="31"/>
      <c r="E26" s="31"/>
      <c r="F26" s="31"/>
      <c r="G26" s="31"/>
      <c r="H26" s="31"/>
      <c r="I26" s="6"/>
      <c r="J26" s="6"/>
      <c r="K26" s="6"/>
      <c r="L26" s="6"/>
      <c r="M26" s="6"/>
      <c r="N26" s="6"/>
      <c r="O26" s="6"/>
      <c r="P26" s="6"/>
      <c r="Q26" s="6"/>
      <c r="R26" s="6"/>
      <c r="S26" s="6"/>
      <c r="T26" s="6"/>
      <c r="U26" s="3"/>
      <c r="V26" s="3"/>
      <c r="W26" s="3"/>
      <c r="X26" s="3"/>
      <c r="Y26" s="3"/>
      <c r="Z26" s="3"/>
    </row>
    <row r="27" spans="1:26">
      <c r="A27" s="4"/>
      <c r="B27" s="6"/>
      <c r="C27" s="33" t="s">
        <v>21</v>
      </c>
      <c r="D27" s="31"/>
      <c r="E27" s="31"/>
      <c r="F27" s="31"/>
      <c r="G27" s="31"/>
      <c r="H27" s="31"/>
      <c r="I27" s="31"/>
      <c r="J27" s="31"/>
      <c r="K27" s="31"/>
      <c r="L27" s="31"/>
      <c r="M27" s="31"/>
      <c r="N27" s="6"/>
      <c r="O27" s="6"/>
      <c r="P27" s="6"/>
      <c r="Q27" s="6"/>
      <c r="R27" s="6"/>
      <c r="S27" s="6"/>
      <c r="T27" s="6"/>
      <c r="U27" s="3"/>
      <c r="V27" s="3"/>
      <c r="W27" s="3"/>
      <c r="X27" s="3"/>
      <c r="Y27" s="3"/>
      <c r="Z27" s="3"/>
    </row>
    <row r="28" spans="1:26">
      <c r="A28" s="4"/>
      <c r="B28" s="6"/>
      <c r="C28" s="6" t="s">
        <v>22</v>
      </c>
      <c r="D28" s="6"/>
      <c r="E28" s="6"/>
      <c r="F28" s="6"/>
      <c r="G28" s="6"/>
      <c r="H28" s="6"/>
      <c r="I28" s="6"/>
      <c r="J28" s="6"/>
      <c r="K28" s="6"/>
      <c r="L28" s="6"/>
      <c r="M28" s="6"/>
      <c r="N28" s="6"/>
      <c r="O28" s="6"/>
      <c r="P28" s="6"/>
      <c r="Q28" s="6"/>
      <c r="R28" s="6"/>
      <c r="S28" s="6"/>
      <c r="T28" s="6"/>
      <c r="U28" s="3"/>
      <c r="V28" s="3"/>
      <c r="W28" s="3"/>
      <c r="X28" s="3"/>
      <c r="Y28" s="3"/>
      <c r="Z28" s="3"/>
    </row>
    <row r="29" spans="1:26">
      <c r="A29" s="4"/>
      <c r="B29" s="11"/>
      <c r="C29" s="34" t="s">
        <v>23</v>
      </c>
      <c r="D29" s="31"/>
      <c r="E29" s="6"/>
      <c r="F29" s="6"/>
      <c r="G29" s="6"/>
      <c r="H29" s="6"/>
      <c r="I29" s="6"/>
      <c r="J29" s="6"/>
      <c r="K29" s="6"/>
      <c r="L29" s="6"/>
      <c r="M29" s="6"/>
      <c r="N29" s="6"/>
      <c r="O29" s="6"/>
      <c r="P29" s="6"/>
      <c r="Q29" s="6"/>
      <c r="R29" s="6"/>
      <c r="S29" s="6"/>
      <c r="T29" s="6"/>
      <c r="U29" s="3"/>
      <c r="V29" s="3"/>
      <c r="W29" s="3"/>
      <c r="X29" s="3"/>
      <c r="Y29" s="3"/>
      <c r="Z29" s="3"/>
    </row>
    <row r="30" spans="1:26" ht="21.95" customHeight="1">
      <c r="A30" s="4"/>
      <c r="B30" s="12"/>
      <c r="C30" s="32" t="s">
        <v>24</v>
      </c>
      <c r="D30" s="31"/>
      <c r="E30" s="31"/>
      <c r="F30" s="31"/>
      <c r="G30" s="31"/>
      <c r="H30" s="31"/>
      <c r="I30" s="31"/>
      <c r="J30" s="31"/>
      <c r="K30" s="31"/>
      <c r="L30" s="6"/>
      <c r="M30" s="6"/>
      <c r="N30" s="6"/>
      <c r="O30" s="6"/>
      <c r="P30" s="6"/>
      <c r="Q30" s="6"/>
      <c r="R30" s="6"/>
      <c r="S30" s="6"/>
      <c r="T30" s="6"/>
      <c r="U30" s="3"/>
      <c r="V30" s="3"/>
      <c r="W30" s="3"/>
      <c r="X30" s="3"/>
      <c r="Y30" s="3"/>
      <c r="Z30" s="3"/>
    </row>
    <row r="31" spans="1:26">
      <c r="A31" s="4"/>
      <c r="B31" s="6"/>
      <c r="C31" s="6"/>
      <c r="D31" s="33" t="s">
        <v>25</v>
      </c>
      <c r="E31" s="31"/>
      <c r="F31" s="31"/>
      <c r="G31" s="31"/>
      <c r="H31" s="31"/>
      <c r="I31" s="6"/>
      <c r="J31" s="6"/>
      <c r="K31" s="6"/>
      <c r="L31" s="6"/>
      <c r="M31" s="6"/>
      <c r="N31" s="6"/>
      <c r="O31" s="6"/>
      <c r="P31" s="6"/>
      <c r="Q31" s="6"/>
      <c r="R31" s="6"/>
      <c r="S31" s="6"/>
      <c r="T31" s="6"/>
      <c r="U31" s="3"/>
      <c r="V31" s="3"/>
      <c r="W31" s="3"/>
      <c r="X31" s="3"/>
      <c r="Y31" s="3"/>
      <c r="Z31" s="3"/>
    </row>
    <row r="32" spans="1:26">
      <c r="A32" s="4"/>
      <c r="B32" s="6"/>
      <c r="C32" s="6"/>
      <c r="D32" s="33" t="s">
        <v>26</v>
      </c>
      <c r="E32" s="31"/>
      <c r="F32" s="31"/>
      <c r="G32" s="31"/>
      <c r="H32" s="31"/>
      <c r="I32" s="31"/>
      <c r="J32" s="31"/>
      <c r="K32" s="31"/>
      <c r="L32" s="31"/>
      <c r="M32" s="31"/>
      <c r="N32" s="6"/>
      <c r="O32" s="6"/>
      <c r="P32" s="6"/>
      <c r="Q32" s="6"/>
      <c r="R32" s="6"/>
      <c r="S32" s="6"/>
      <c r="T32" s="6"/>
      <c r="U32" s="3"/>
      <c r="V32" s="3"/>
      <c r="W32" s="3"/>
      <c r="X32" s="3"/>
      <c r="Y32" s="3"/>
      <c r="Z32" s="3"/>
    </row>
    <row r="33" spans="1:26">
      <c r="A33" s="4"/>
      <c r="B33" s="6"/>
      <c r="C33" s="6"/>
      <c r="D33" s="6"/>
      <c r="E33" s="6"/>
      <c r="F33" s="6"/>
      <c r="G33" s="6"/>
      <c r="H33" s="6"/>
      <c r="I33" s="6"/>
      <c r="J33" s="6"/>
      <c r="K33" s="6"/>
      <c r="L33" s="6"/>
      <c r="M33" s="6"/>
      <c r="N33" s="6"/>
      <c r="O33" s="6"/>
      <c r="P33" s="6"/>
      <c r="Q33" s="6"/>
      <c r="R33" s="6"/>
      <c r="S33" s="6"/>
      <c r="T33" s="6"/>
      <c r="U33" s="3"/>
      <c r="V33" s="3"/>
      <c r="W33" s="3"/>
      <c r="X33" s="3"/>
      <c r="Y33" s="3"/>
      <c r="Z33" s="3"/>
    </row>
    <row r="34" spans="1:26">
      <c r="A34" s="4"/>
      <c r="B34" s="6"/>
      <c r="C34" s="6"/>
      <c r="D34" s="6"/>
      <c r="E34" s="6"/>
      <c r="F34" s="6"/>
      <c r="G34" s="6"/>
      <c r="H34" s="6"/>
      <c r="I34" s="6"/>
      <c r="J34" s="6"/>
      <c r="K34" s="6"/>
      <c r="L34" s="6"/>
      <c r="M34" s="6"/>
      <c r="N34" s="6"/>
      <c r="O34" s="6"/>
      <c r="P34" s="6"/>
      <c r="Q34" s="6"/>
      <c r="R34" s="6"/>
      <c r="S34" s="6"/>
      <c r="T34" s="6"/>
      <c r="U34" s="3"/>
      <c r="V34" s="3"/>
      <c r="W34" s="3"/>
      <c r="X34" s="3"/>
      <c r="Y34" s="3"/>
      <c r="Z34" s="3"/>
    </row>
    <row r="35" spans="1:26">
      <c r="A35" s="4"/>
      <c r="B35" s="11"/>
      <c r="C35" s="34" t="s">
        <v>27</v>
      </c>
      <c r="D35" s="31"/>
      <c r="E35" s="31"/>
      <c r="F35" s="31"/>
      <c r="G35" s="6"/>
      <c r="H35" s="6"/>
      <c r="I35" s="6"/>
      <c r="J35" s="6"/>
      <c r="K35" s="6"/>
      <c r="L35" s="6"/>
      <c r="M35" s="6"/>
      <c r="N35" s="6"/>
      <c r="O35" s="6"/>
      <c r="P35" s="6"/>
      <c r="Q35" s="6"/>
      <c r="R35" s="6"/>
      <c r="S35" s="6"/>
      <c r="T35" s="6"/>
      <c r="U35" s="3"/>
      <c r="V35" s="3"/>
      <c r="W35" s="3"/>
      <c r="X35" s="3"/>
      <c r="Y35" s="3"/>
      <c r="Z35" s="3"/>
    </row>
    <row r="36" spans="1:26" ht="21.95" customHeight="1">
      <c r="A36" s="4"/>
      <c r="B36" s="12"/>
      <c r="C36" s="32" t="s">
        <v>28</v>
      </c>
      <c r="D36" s="31"/>
      <c r="E36" s="31"/>
      <c r="F36" s="31"/>
      <c r="G36" s="31"/>
      <c r="H36" s="31"/>
      <c r="I36" s="31"/>
      <c r="J36" s="31"/>
      <c r="K36" s="31"/>
      <c r="L36" s="31"/>
      <c r="M36" s="31"/>
      <c r="N36" s="31"/>
      <c r="O36" s="31"/>
      <c r="P36" s="31"/>
      <c r="Q36" s="31"/>
      <c r="R36" s="6"/>
      <c r="S36" s="6"/>
      <c r="T36" s="6"/>
      <c r="U36" s="3"/>
      <c r="V36" s="3"/>
      <c r="W36" s="3"/>
      <c r="X36" s="3"/>
      <c r="Y36" s="3"/>
      <c r="Z36" s="3"/>
    </row>
    <row r="37" spans="1:26">
      <c r="A37" s="4"/>
      <c r="B37" s="6"/>
      <c r="C37" s="6"/>
      <c r="D37" s="33" t="s">
        <v>29</v>
      </c>
      <c r="E37" s="31"/>
      <c r="F37" s="31"/>
      <c r="G37" s="31"/>
      <c r="H37" s="31"/>
      <c r="I37" s="31"/>
      <c r="J37" s="31"/>
      <c r="K37" s="31"/>
      <c r="L37" s="31"/>
      <c r="M37" s="31"/>
      <c r="N37" s="6"/>
      <c r="O37" s="6"/>
      <c r="P37" s="6"/>
      <c r="Q37" s="6"/>
      <c r="R37" s="6"/>
      <c r="S37" s="6"/>
      <c r="T37" s="6"/>
      <c r="U37" s="3"/>
      <c r="V37" s="3"/>
      <c r="W37" s="3"/>
      <c r="X37" s="3"/>
      <c r="Y37" s="3"/>
      <c r="Z37" s="3"/>
    </row>
    <row r="38" spans="1:26">
      <c r="A38" s="4"/>
      <c r="B38" s="6"/>
      <c r="C38" s="6"/>
      <c r="D38" s="33" t="s">
        <v>26</v>
      </c>
      <c r="E38" s="31"/>
      <c r="F38" s="31"/>
      <c r="G38" s="31"/>
      <c r="H38" s="31"/>
      <c r="I38" s="31"/>
      <c r="J38" s="31"/>
      <c r="K38" s="31"/>
      <c r="L38" s="31"/>
      <c r="M38" s="31"/>
      <c r="N38" s="6"/>
      <c r="O38" s="6"/>
      <c r="P38" s="6"/>
      <c r="Q38" s="6"/>
      <c r="R38" s="6"/>
      <c r="S38" s="6"/>
      <c r="T38" s="6"/>
      <c r="U38" s="3"/>
      <c r="V38" s="3"/>
      <c r="W38" s="3"/>
      <c r="X38" s="3"/>
      <c r="Y38" s="3"/>
      <c r="Z38" s="3"/>
    </row>
    <row r="39" spans="1:26">
      <c r="A39" s="4"/>
      <c r="B39" s="6"/>
      <c r="C39" s="6"/>
      <c r="D39" s="33" t="s">
        <v>30</v>
      </c>
      <c r="E39" s="31"/>
      <c r="F39" s="31"/>
      <c r="G39" s="6"/>
      <c r="H39" s="6"/>
      <c r="I39" s="6"/>
      <c r="J39" s="6"/>
      <c r="K39" s="6"/>
      <c r="L39" s="6"/>
      <c r="M39" s="6"/>
      <c r="N39" s="6"/>
      <c r="O39" s="6"/>
      <c r="P39" s="6"/>
      <c r="Q39" s="6"/>
      <c r="R39" s="6"/>
      <c r="S39" s="6"/>
      <c r="T39" s="6"/>
      <c r="U39" s="3"/>
      <c r="V39" s="3"/>
      <c r="W39" s="3"/>
      <c r="X39" s="3"/>
      <c r="Y39" s="3"/>
      <c r="Z39" s="3"/>
    </row>
    <row r="40" spans="1:26">
      <c r="A40" s="4"/>
      <c r="B40" s="6"/>
      <c r="C40" s="6"/>
      <c r="D40" s="6"/>
      <c r="E40" s="6"/>
      <c r="F40" s="6"/>
      <c r="G40" s="6"/>
      <c r="H40" s="6"/>
      <c r="I40" s="6"/>
      <c r="J40" s="6"/>
      <c r="K40" s="6"/>
      <c r="L40" s="6"/>
      <c r="M40" s="6"/>
      <c r="N40" s="6"/>
      <c r="O40" s="6"/>
      <c r="P40" s="6"/>
      <c r="Q40" s="6"/>
      <c r="R40" s="6"/>
      <c r="S40" s="6"/>
      <c r="T40" s="6"/>
      <c r="U40" s="3"/>
      <c r="V40" s="3"/>
      <c r="W40" s="3"/>
      <c r="X40" s="3"/>
      <c r="Y40" s="3"/>
      <c r="Z40" s="3"/>
    </row>
    <row r="41" spans="1:26">
      <c r="A41" s="4"/>
      <c r="B41" s="11"/>
      <c r="C41" s="34" t="s">
        <v>31</v>
      </c>
      <c r="D41" s="31"/>
      <c r="E41" s="6"/>
      <c r="F41" s="6"/>
      <c r="G41" s="6"/>
      <c r="H41" s="6"/>
      <c r="I41" s="6"/>
      <c r="J41" s="6"/>
      <c r="K41" s="6"/>
      <c r="L41" s="6"/>
      <c r="M41" s="6"/>
      <c r="N41" s="6"/>
      <c r="O41" s="6"/>
      <c r="P41" s="6"/>
      <c r="Q41" s="6"/>
      <c r="R41" s="6"/>
      <c r="S41" s="6"/>
      <c r="T41" s="6"/>
      <c r="U41" s="3"/>
      <c r="V41" s="3"/>
      <c r="W41" s="3"/>
      <c r="X41" s="3"/>
      <c r="Y41" s="3"/>
      <c r="Z41" s="3"/>
    </row>
    <row r="42" spans="1:26" ht="21.95" customHeight="1">
      <c r="A42" s="4"/>
      <c r="B42" s="12"/>
      <c r="C42" s="32" t="s">
        <v>32</v>
      </c>
      <c r="D42" s="31"/>
      <c r="E42" s="31"/>
      <c r="F42" s="31"/>
      <c r="G42" s="31"/>
      <c r="H42" s="31"/>
      <c r="I42" s="31"/>
      <c r="J42" s="31"/>
      <c r="K42" s="31"/>
      <c r="L42" s="31"/>
      <c r="M42" s="31"/>
      <c r="N42" s="31"/>
      <c r="O42" s="31"/>
      <c r="P42" s="31"/>
      <c r="Q42" s="31"/>
      <c r="R42" s="31"/>
      <c r="S42" s="31"/>
      <c r="T42" s="31"/>
      <c r="U42" s="3"/>
      <c r="V42" s="3"/>
      <c r="W42" s="3"/>
      <c r="X42" s="3"/>
      <c r="Y42" s="3"/>
      <c r="Z42" s="3"/>
    </row>
    <row r="43" spans="1:26">
      <c r="A43" s="4"/>
      <c r="B43" s="6"/>
      <c r="C43" s="6"/>
      <c r="D43" s="33" t="s">
        <v>33</v>
      </c>
      <c r="E43" s="31"/>
      <c r="F43" s="31"/>
      <c r="G43" s="31"/>
      <c r="H43" s="31"/>
      <c r="I43" s="6"/>
      <c r="J43" s="6"/>
      <c r="K43" s="6"/>
      <c r="L43" s="6"/>
      <c r="M43" s="6"/>
      <c r="N43" s="6"/>
      <c r="O43" s="6"/>
      <c r="P43" s="6"/>
      <c r="Q43" s="6"/>
      <c r="R43" s="6"/>
      <c r="S43" s="6"/>
      <c r="T43" s="6"/>
      <c r="U43" s="3"/>
      <c r="V43" s="3"/>
      <c r="W43" s="3"/>
      <c r="X43" s="3"/>
      <c r="Y43" s="3"/>
      <c r="Z43" s="3"/>
    </row>
    <row r="44" spans="1:26">
      <c r="A44" s="4"/>
      <c r="B44" s="6"/>
      <c r="C44" s="6"/>
      <c r="D44" s="6"/>
      <c r="E44" s="33" t="s">
        <v>34</v>
      </c>
      <c r="F44" s="31"/>
      <c r="G44" s="31"/>
      <c r="H44" s="31"/>
      <c r="I44" s="31"/>
      <c r="J44" s="6"/>
      <c r="K44" s="6"/>
      <c r="L44" s="6"/>
      <c r="M44" s="6"/>
      <c r="N44" s="6"/>
      <c r="O44" s="6"/>
      <c r="P44" s="6"/>
      <c r="Q44" s="6"/>
      <c r="R44" s="6"/>
      <c r="S44" s="6"/>
      <c r="T44" s="6"/>
      <c r="U44" s="3"/>
      <c r="V44" s="3"/>
      <c r="W44" s="3"/>
      <c r="X44" s="3"/>
      <c r="Y44" s="3"/>
      <c r="Z44" s="3"/>
    </row>
    <row r="45" spans="1:26">
      <c r="A45" s="4"/>
      <c r="B45" s="6"/>
      <c r="C45" s="6"/>
      <c r="D45" s="33" t="s">
        <v>35</v>
      </c>
      <c r="E45" s="31"/>
      <c r="F45" s="31"/>
      <c r="G45" s="31"/>
      <c r="H45" s="31"/>
      <c r="I45" s="6"/>
      <c r="J45" s="6"/>
      <c r="K45" s="6"/>
      <c r="L45" s="6"/>
      <c r="M45" s="6"/>
      <c r="N45" s="6"/>
      <c r="O45" s="6"/>
      <c r="P45" s="6"/>
      <c r="Q45" s="6"/>
      <c r="R45" s="6"/>
      <c r="S45" s="6"/>
      <c r="T45" s="6"/>
      <c r="U45" s="3"/>
      <c r="V45" s="3"/>
      <c r="W45" s="3"/>
      <c r="X45" s="3"/>
      <c r="Y45" s="3"/>
      <c r="Z45" s="3"/>
    </row>
    <row r="46" spans="1:26">
      <c r="A46" s="4"/>
      <c r="B46" s="6"/>
      <c r="C46" s="6"/>
      <c r="D46" s="6"/>
      <c r="E46" s="33" t="s">
        <v>36</v>
      </c>
      <c r="F46" s="31"/>
      <c r="G46" s="31"/>
      <c r="H46" s="31"/>
      <c r="I46" s="31"/>
      <c r="J46" s="31"/>
      <c r="K46" s="31"/>
      <c r="L46" s="6"/>
      <c r="M46" s="6"/>
      <c r="N46" s="6"/>
      <c r="O46" s="6"/>
      <c r="P46" s="6"/>
      <c r="Q46" s="6"/>
      <c r="R46" s="6"/>
      <c r="S46" s="6"/>
      <c r="T46" s="6"/>
      <c r="U46" s="3"/>
      <c r="V46" s="3"/>
      <c r="W46" s="3"/>
      <c r="X46" s="3"/>
      <c r="Y46" s="3"/>
      <c r="Z46" s="3"/>
    </row>
    <row r="47" spans="1:26">
      <c r="A47" s="4"/>
      <c r="B47" s="6"/>
      <c r="C47" s="6"/>
      <c r="D47" s="33" t="s">
        <v>37</v>
      </c>
      <c r="E47" s="31"/>
      <c r="F47" s="31"/>
      <c r="G47" s="31"/>
      <c r="H47" s="31"/>
      <c r="I47" s="6"/>
      <c r="J47" s="6"/>
      <c r="K47" s="6"/>
      <c r="L47" s="6"/>
      <c r="M47" s="6"/>
      <c r="N47" s="6"/>
      <c r="O47" s="6"/>
      <c r="P47" s="6"/>
      <c r="Q47" s="6"/>
      <c r="R47" s="6"/>
      <c r="S47" s="6"/>
      <c r="T47" s="6"/>
      <c r="U47" s="3"/>
      <c r="V47" s="3"/>
      <c r="W47" s="3"/>
      <c r="X47" s="3"/>
      <c r="Y47" s="3"/>
      <c r="Z47" s="3"/>
    </row>
    <row r="48" spans="1:26">
      <c r="A48" s="4"/>
      <c r="B48" s="6"/>
      <c r="C48" s="6"/>
      <c r="D48" s="6"/>
      <c r="E48" s="33" t="s">
        <v>38</v>
      </c>
      <c r="F48" s="31"/>
      <c r="G48" s="31"/>
      <c r="H48" s="31"/>
      <c r="I48" s="31"/>
      <c r="J48" s="31"/>
      <c r="K48" s="31"/>
      <c r="L48" s="6"/>
      <c r="M48" s="6"/>
      <c r="N48" s="6"/>
      <c r="O48" s="6"/>
      <c r="P48" s="6"/>
      <c r="Q48" s="6"/>
      <c r="R48" s="6"/>
      <c r="S48" s="6"/>
      <c r="T48" s="6"/>
      <c r="U48" s="3"/>
      <c r="V48" s="3"/>
      <c r="W48" s="3"/>
      <c r="X48" s="3"/>
      <c r="Y48" s="3"/>
      <c r="Z48" s="3"/>
    </row>
    <row r="49" spans="1:26">
      <c r="A49" s="4"/>
      <c r="B49" s="6"/>
      <c r="C49" s="6"/>
      <c r="D49" s="33" t="s">
        <v>39</v>
      </c>
      <c r="E49" s="31"/>
      <c r="F49" s="31"/>
      <c r="G49" s="31"/>
      <c r="H49" s="31"/>
      <c r="I49" s="31"/>
      <c r="J49" s="6"/>
      <c r="K49" s="6"/>
      <c r="L49" s="6"/>
      <c r="M49" s="6"/>
      <c r="N49" s="6"/>
      <c r="O49" s="6"/>
      <c r="P49" s="6"/>
      <c r="Q49" s="6"/>
      <c r="R49" s="6"/>
      <c r="S49" s="6"/>
      <c r="T49" s="6"/>
      <c r="U49" s="3"/>
      <c r="V49" s="3"/>
      <c r="W49" s="3"/>
      <c r="X49" s="3"/>
      <c r="Y49" s="3"/>
      <c r="Z49" s="3"/>
    </row>
    <row r="50" spans="1:26">
      <c r="A50" s="4"/>
      <c r="B50" s="6"/>
      <c r="C50" s="6"/>
      <c r="D50" s="6"/>
      <c r="E50" s="33" t="s">
        <v>40</v>
      </c>
      <c r="F50" s="31"/>
      <c r="G50" s="31"/>
      <c r="H50" s="31"/>
      <c r="I50" s="31"/>
      <c r="J50" s="31"/>
      <c r="K50" s="31"/>
      <c r="L50" s="31"/>
      <c r="M50" s="31"/>
      <c r="N50" s="31"/>
      <c r="O50" s="6"/>
      <c r="P50" s="6"/>
      <c r="Q50" s="6"/>
      <c r="R50" s="6"/>
      <c r="S50" s="6"/>
      <c r="T50" s="6"/>
      <c r="U50" s="3"/>
      <c r="V50" s="3"/>
      <c r="W50" s="3"/>
      <c r="X50" s="3"/>
      <c r="Y50" s="3"/>
      <c r="Z50" s="3"/>
    </row>
    <row r="51" spans="1:26">
      <c r="A51" s="4"/>
      <c r="B51" s="6"/>
      <c r="C51" s="6"/>
      <c r="D51" s="33" t="s">
        <v>41</v>
      </c>
      <c r="E51" s="31"/>
      <c r="F51" s="31"/>
      <c r="G51" s="31"/>
      <c r="H51" s="31"/>
      <c r="I51" s="31"/>
      <c r="J51" s="6"/>
      <c r="K51" s="6"/>
      <c r="L51" s="6"/>
      <c r="M51" s="6"/>
      <c r="N51" s="6"/>
      <c r="O51" s="6"/>
      <c r="P51" s="6"/>
      <c r="Q51" s="6"/>
      <c r="R51" s="6"/>
      <c r="S51" s="6"/>
      <c r="T51" s="6"/>
      <c r="U51" s="3"/>
      <c r="V51" s="3"/>
      <c r="W51" s="3"/>
      <c r="X51" s="3"/>
      <c r="Y51" s="3"/>
      <c r="Z51" s="3"/>
    </row>
    <row r="52" spans="1:26">
      <c r="A52" s="4"/>
      <c r="B52" s="6"/>
      <c r="C52" s="6"/>
      <c r="D52" s="6"/>
      <c r="E52" s="6"/>
      <c r="F52" s="6"/>
      <c r="G52" s="6"/>
      <c r="H52" s="6"/>
      <c r="I52" s="6"/>
      <c r="J52" s="6"/>
      <c r="K52" s="6"/>
      <c r="L52" s="6"/>
      <c r="M52" s="6"/>
      <c r="N52" s="6"/>
      <c r="O52" s="6"/>
      <c r="P52" s="6"/>
      <c r="Q52" s="6"/>
      <c r="R52" s="6"/>
      <c r="S52" s="6"/>
      <c r="T52" s="6"/>
      <c r="U52" s="3"/>
      <c r="V52" s="3"/>
      <c r="W52" s="3"/>
      <c r="X52" s="3"/>
      <c r="Y52" s="3"/>
      <c r="Z52" s="3"/>
    </row>
    <row r="53" spans="1:26">
      <c r="A53" s="4"/>
      <c r="B53" s="11"/>
      <c r="C53" s="34" t="s">
        <v>42</v>
      </c>
      <c r="D53" s="31"/>
      <c r="E53" s="6"/>
      <c r="F53" s="6"/>
      <c r="G53" s="6"/>
      <c r="H53" s="6"/>
      <c r="I53" s="6"/>
      <c r="J53" s="6"/>
      <c r="K53" s="6"/>
      <c r="L53" s="6"/>
      <c r="M53" s="6"/>
      <c r="N53" s="6"/>
      <c r="O53" s="6"/>
      <c r="P53" s="6"/>
      <c r="Q53" s="6"/>
      <c r="R53" s="6"/>
      <c r="S53" s="6"/>
      <c r="T53" s="6"/>
      <c r="U53" s="3"/>
      <c r="V53" s="3"/>
      <c r="W53" s="3"/>
      <c r="X53" s="3"/>
      <c r="Y53" s="3"/>
      <c r="Z53" s="3"/>
    </row>
    <row r="54" spans="1:26" ht="21.95" customHeight="1">
      <c r="A54" s="4"/>
      <c r="B54" s="12"/>
      <c r="C54" s="32" t="s">
        <v>43</v>
      </c>
      <c r="D54" s="31"/>
      <c r="E54" s="31"/>
      <c r="F54" s="31"/>
      <c r="G54" s="31"/>
      <c r="H54" s="31"/>
      <c r="I54" s="31"/>
      <c r="J54" s="31"/>
      <c r="K54" s="6"/>
      <c r="L54" s="6"/>
      <c r="M54" s="6"/>
      <c r="N54" s="6"/>
      <c r="O54" s="6"/>
      <c r="P54" s="6"/>
      <c r="Q54" s="6"/>
      <c r="R54" s="6"/>
      <c r="S54" s="6"/>
      <c r="T54" s="6"/>
      <c r="U54" s="3"/>
      <c r="V54" s="3"/>
      <c r="W54" s="3"/>
      <c r="X54" s="3"/>
      <c r="Y54" s="3"/>
      <c r="Z54" s="3"/>
    </row>
    <row r="55" spans="1:26">
      <c r="A55" s="4"/>
      <c r="B55" s="6"/>
      <c r="C55" s="6"/>
      <c r="D55" s="33" t="s">
        <v>44</v>
      </c>
      <c r="E55" s="31"/>
      <c r="F55" s="31"/>
      <c r="G55" s="31"/>
      <c r="H55" s="31"/>
      <c r="I55" s="31"/>
      <c r="J55" s="31"/>
      <c r="K55" s="31"/>
      <c r="L55" s="31"/>
      <c r="M55" s="6"/>
      <c r="N55" s="6"/>
      <c r="O55" s="6"/>
      <c r="P55" s="6"/>
      <c r="Q55" s="6"/>
      <c r="R55" s="6"/>
      <c r="S55" s="6"/>
      <c r="T55" s="6"/>
      <c r="U55" s="3"/>
      <c r="V55" s="3"/>
      <c r="W55" s="3"/>
      <c r="X55" s="3"/>
      <c r="Y55" s="3"/>
      <c r="Z55" s="3"/>
    </row>
    <row r="56" spans="1:26">
      <c r="A56" s="4"/>
      <c r="B56" s="6"/>
      <c r="C56" s="6"/>
      <c r="D56" s="33" t="s">
        <v>41</v>
      </c>
      <c r="E56" s="31"/>
      <c r="F56" s="31"/>
      <c r="G56" s="31"/>
      <c r="H56" s="31"/>
      <c r="I56" s="31"/>
      <c r="J56" s="6"/>
      <c r="K56" s="6"/>
      <c r="L56" s="6"/>
      <c r="M56" s="6"/>
      <c r="N56" s="6"/>
      <c r="O56" s="6"/>
      <c r="P56" s="6"/>
      <c r="Q56" s="6"/>
      <c r="R56" s="6"/>
      <c r="S56" s="6"/>
      <c r="T56" s="6"/>
      <c r="U56" s="3"/>
      <c r="V56" s="3"/>
      <c r="W56" s="3"/>
      <c r="X56" s="3"/>
      <c r="Y56" s="3"/>
      <c r="Z56" s="3"/>
    </row>
    <row r="57" spans="1:26">
      <c r="A57" s="4"/>
      <c r="B57" s="6"/>
      <c r="C57" s="6"/>
      <c r="D57" s="6"/>
      <c r="E57" s="6"/>
      <c r="F57" s="6"/>
      <c r="G57" s="6"/>
      <c r="H57" s="6"/>
      <c r="I57" s="6"/>
      <c r="J57" s="6"/>
      <c r="K57" s="6"/>
      <c r="L57" s="6"/>
      <c r="M57" s="6"/>
      <c r="N57" s="6"/>
      <c r="O57" s="6"/>
      <c r="P57" s="6"/>
      <c r="Q57" s="6"/>
      <c r="R57" s="6"/>
      <c r="S57" s="6"/>
      <c r="T57" s="6"/>
      <c r="U57" s="3"/>
      <c r="V57" s="3"/>
      <c r="W57" s="3"/>
      <c r="X57" s="3"/>
      <c r="Y57" s="3"/>
      <c r="Z57" s="3"/>
    </row>
    <row r="58" spans="1:26" ht="16.5" customHeight="1">
      <c r="A58" s="4"/>
      <c r="B58" s="13"/>
      <c r="C58" s="37" t="s">
        <v>45</v>
      </c>
      <c r="D58" s="31"/>
      <c r="E58" s="31"/>
      <c r="F58" s="13"/>
      <c r="G58" s="13"/>
      <c r="H58" s="13"/>
      <c r="I58" s="13"/>
      <c r="J58" s="13"/>
      <c r="K58" s="13"/>
      <c r="L58" s="13"/>
      <c r="M58" s="13"/>
      <c r="N58" s="13"/>
      <c r="O58" s="13"/>
      <c r="P58" s="13"/>
      <c r="Q58" s="13"/>
      <c r="R58" s="13"/>
      <c r="S58" s="13"/>
      <c r="T58" s="13"/>
      <c r="U58" s="3"/>
      <c r="V58" s="3"/>
      <c r="W58" s="3"/>
      <c r="X58" s="3"/>
      <c r="Y58" s="3"/>
      <c r="Z58" s="3"/>
    </row>
    <row r="59" spans="1:26" ht="21.95" customHeight="1">
      <c r="A59" s="4"/>
      <c r="B59" s="12"/>
      <c r="C59" s="32" t="s">
        <v>46</v>
      </c>
      <c r="D59" s="31"/>
      <c r="E59" s="31"/>
      <c r="F59" s="31"/>
      <c r="G59" s="31"/>
      <c r="H59" s="31"/>
      <c r="I59" s="31"/>
      <c r="J59" s="31"/>
      <c r="K59" s="31"/>
      <c r="L59" s="31"/>
      <c r="M59" s="31"/>
      <c r="N59" s="31"/>
      <c r="O59" s="31"/>
      <c r="P59" s="6"/>
      <c r="Q59" s="6"/>
      <c r="R59" s="6"/>
      <c r="S59" s="6"/>
      <c r="T59" s="6"/>
      <c r="U59" s="3"/>
      <c r="V59" s="3"/>
      <c r="W59" s="3"/>
      <c r="X59" s="3"/>
      <c r="Y59" s="3"/>
      <c r="Z59" s="3"/>
    </row>
    <row r="60" spans="1:26">
      <c r="A60" s="4"/>
      <c r="B60" s="6"/>
      <c r="C60" s="6"/>
      <c r="D60" s="33" t="s">
        <v>47</v>
      </c>
      <c r="E60" s="31"/>
      <c r="F60" s="31"/>
      <c r="G60" s="31"/>
      <c r="H60" s="31"/>
      <c r="I60" s="31"/>
      <c r="J60" s="31"/>
      <c r="K60" s="31"/>
      <c r="L60" s="31"/>
      <c r="M60" s="33"/>
      <c r="N60" s="6"/>
      <c r="O60" s="6"/>
      <c r="P60" s="6"/>
      <c r="Q60" s="6"/>
      <c r="R60" s="6"/>
      <c r="S60" s="6"/>
      <c r="T60" s="6"/>
      <c r="U60" s="3"/>
      <c r="V60" s="3"/>
      <c r="W60" s="3"/>
      <c r="X60" s="3"/>
      <c r="Y60" s="3"/>
      <c r="Z60" s="3"/>
    </row>
    <row r="61" spans="1:26">
      <c r="A61" s="4"/>
      <c r="B61" s="6"/>
      <c r="C61" s="6"/>
      <c r="D61" s="33" t="s">
        <v>41</v>
      </c>
      <c r="E61" s="31"/>
      <c r="F61" s="31"/>
      <c r="G61" s="31"/>
      <c r="H61" s="31"/>
      <c r="I61" s="31"/>
      <c r="J61" s="6"/>
      <c r="K61" s="6"/>
      <c r="L61" s="6"/>
      <c r="M61" s="31"/>
      <c r="N61" s="6"/>
      <c r="O61" s="6"/>
      <c r="P61" s="6"/>
      <c r="Q61" s="6"/>
      <c r="R61" s="6"/>
      <c r="S61" s="6"/>
      <c r="T61" s="6"/>
      <c r="U61" s="3"/>
      <c r="V61" s="3"/>
      <c r="W61" s="3"/>
      <c r="X61" s="3"/>
      <c r="Y61" s="3"/>
      <c r="Z61" s="3"/>
    </row>
    <row r="62" spans="1:26">
      <c r="A62" s="4"/>
      <c r="B62" s="6"/>
      <c r="C62" s="6"/>
      <c r="D62" s="6"/>
      <c r="E62" s="6"/>
      <c r="F62" s="6"/>
      <c r="G62" s="6"/>
      <c r="H62" s="6"/>
      <c r="I62" s="6"/>
      <c r="J62" s="6"/>
      <c r="K62" s="6"/>
      <c r="L62" s="6"/>
      <c r="M62" s="6"/>
      <c r="N62" s="6"/>
      <c r="O62" s="6"/>
      <c r="P62" s="6"/>
      <c r="Q62" s="6"/>
      <c r="R62" s="6"/>
      <c r="S62" s="6"/>
      <c r="T62" s="6"/>
      <c r="U62" s="3"/>
      <c r="V62" s="3"/>
      <c r="W62" s="3"/>
      <c r="X62" s="3"/>
      <c r="Y62" s="3"/>
      <c r="Z62" s="3"/>
    </row>
    <row r="63" spans="1:26" ht="16.5" customHeight="1">
      <c r="A63" s="4"/>
      <c r="B63" s="13"/>
      <c r="C63" s="37" t="s">
        <v>48</v>
      </c>
      <c r="D63" s="31"/>
      <c r="E63" s="6"/>
      <c r="F63" s="6"/>
      <c r="G63" s="6"/>
      <c r="H63" s="6"/>
      <c r="I63" s="6"/>
      <c r="J63" s="6"/>
      <c r="K63" s="6"/>
      <c r="L63" s="6"/>
      <c r="M63" s="6"/>
      <c r="N63" s="6"/>
      <c r="O63" s="6"/>
      <c r="P63" s="6"/>
      <c r="Q63" s="6"/>
      <c r="R63" s="6"/>
      <c r="S63" s="6"/>
      <c r="T63" s="6"/>
      <c r="U63" s="3"/>
      <c r="V63" s="3"/>
      <c r="W63" s="3"/>
      <c r="X63" s="3"/>
      <c r="Y63" s="3"/>
      <c r="Z63" s="3"/>
    </row>
    <row r="64" spans="1:26" ht="21.95" customHeight="1">
      <c r="A64" s="4"/>
      <c r="B64" s="12"/>
      <c r="C64" s="32" t="s">
        <v>49</v>
      </c>
      <c r="D64" s="31"/>
      <c r="E64" s="31"/>
      <c r="F64" s="31"/>
      <c r="G64" s="31"/>
      <c r="H64" s="31"/>
      <c r="I64" s="31"/>
      <c r="J64" s="31"/>
      <c r="K64" s="31"/>
      <c r="L64" s="31"/>
      <c r="M64" s="31"/>
      <c r="N64" s="31"/>
      <c r="O64" s="31"/>
      <c r="P64" s="31"/>
      <c r="Q64" s="31"/>
      <c r="R64" s="6"/>
      <c r="S64" s="6"/>
      <c r="T64" s="6"/>
      <c r="U64" s="3"/>
      <c r="V64" s="3"/>
      <c r="W64" s="3"/>
      <c r="X64" s="3"/>
      <c r="Y64" s="3"/>
      <c r="Z64" s="3"/>
    </row>
    <row r="65" spans="1:26">
      <c r="A65" s="4"/>
      <c r="B65" s="6"/>
      <c r="C65" s="6"/>
      <c r="D65" s="33" t="s">
        <v>50</v>
      </c>
      <c r="E65" s="31"/>
      <c r="F65" s="31"/>
      <c r="G65" s="31"/>
      <c r="H65" s="31"/>
      <c r="I65" s="31"/>
      <c r="J65" s="31"/>
      <c r="K65" s="31"/>
      <c r="L65" s="31"/>
      <c r="M65" s="31"/>
      <c r="N65" s="31"/>
      <c r="O65" s="31"/>
      <c r="P65" s="31"/>
      <c r="Q65" s="6"/>
      <c r="R65" s="6"/>
      <c r="S65" s="6"/>
      <c r="T65" s="6"/>
      <c r="U65" s="3"/>
      <c r="V65" s="3"/>
      <c r="W65" s="3"/>
      <c r="X65" s="3"/>
      <c r="Y65" s="3"/>
      <c r="Z65" s="3"/>
    </row>
    <row r="66" spans="1:26">
      <c r="A66" s="4"/>
      <c r="B66" s="6"/>
      <c r="C66" s="6"/>
      <c r="D66" s="33" t="s">
        <v>41</v>
      </c>
      <c r="E66" s="31"/>
      <c r="F66" s="31"/>
      <c r="G66" s="31"/>
      <c r="H66" s="31"/>
      <c r="I66" s="31"/>
      <c r="J66" s="6"/>
      <c r="K66" s="6"/>
      <c r="L66" s="6"/>
      <c r="M66" s="6"/>
      <c r="N66" s="6"/>
      <c r="O66" s="6"/>
      <c r="P66" s="6"/>
      <c r="Q66" s="6"/>
      <c r="R66" s="6"/>
      <c r="S66" s="6"/>
      <c r="T66" s="6"/>
      <c r="U66" s="3"/>
      <c r="V66" s="3"/>
      <c r="W66" s="3"/>
      <c r="X66" s="3"/>
      <c r="Y66" s="3"/>
      <c r="Z66" s="3"/>
    </row>
    <row r="67" spans="1:26">
      <c r="A67" s="4"/>
      <c r="B67" s="6"/>
      <c r="C67" s="6"/>
      <c r="D67" s="6"/>
      <c r="E67" s="6"/>
      <c r="F67" s="6"/>
      <c r="G67" s="6"/>
      <c r="H67" s="6"/>
      <c r="I67" s="6"/>
      <c r="J67" s="6"/>
      <c r="K67" s="6"/>
      <c r="L67" s="6"/>
      <c r="M67" s="6"/>
      <c r="N67" s="6"/>
      <c r="O67" s="6"/>
      <c r="P67" s="6"/>
      <c r="Q67" s="6"/>
      <c r="R67" s="6"/>
      <c r="S67" s="6"/>
      <c r="T67" s="6"/>
      <c r="U67" s="3"/>
      <c r="V67" s="3"/>
      <c r="W67" s="3"/>
      <c r="X67" s="3"/>
      <c r="Y67" s="3"/>
      <c r="Z67" s="3"/>
    </row>
    <row r="68" spans="1:26" ht="16.5" customHeight="1">
      <c r="A68" s="4"/>
      <c r="B68" s="13"/>
      <c r="C68" s="37" t="s">
        <v>51</v>
      </c>
      <c r="D68" s="31"/>
      <c r="E68" s="31"/>
      <c r="F68" s="6"/>
      <c r="G68" s="6"/>
      <c r="H68" s="6"/>
      <c r="I68" s="6"/>
      <c r="J68" s="6"/>
      <c r="K68" s="6"/>
      <c r="L68" s="6"/>
      <c r="M68" s="6"/>
      <c r="N68" s="6"/>
      <c r="O68" s="6"/>
      <c r="P68" s="6"/>
      <c r="Q68" s="6"/>
      <c r="R68" s="6"/>
      <c r="S68" s="6"/>
      <c r="T68" s="6"/>
      <c r="U68" s="3"/>
      <c r="V68" s="3"/>
      <c r="W68" s="3"/>
      <c r="X68" s="3"/>
      <c r="Y68" s="3"/>
      <c r="Z68" s="3"/>
    </row>
    <row r="69" spans="1:26" ht="21.95" customHeight="1">
      <c r="A69" s="4"/>
      <c r="B69" s="12"/>
      <c r="C69" s="32" t="s">
        <v>52</v>
      </c>
      <c r="D69" s="31"/>
      <c r="E69" s="31"/>
      <c r="F69" s="31"/>
      <c r="G69" s="31"/>
      <c r="H69" s="31"/>
      <c r="I69" s="31"/>
      <c r="J69" s="31"/>
      <c r="K69" s="31"/>
      <c r="L69" s="31"/>
      <c r="M69" s="6"/>
      <c r="N69" s="6"/>
      <c r="O69" s="6"/>
      <c r="P69" s="6"/>
      <c r="Q69" s="6"/>
      <c r="R69" s="6"/>
      <c r="S69" s="6"/>
      <c r="T69" s="6"/>
      <c r="U69" s="3"/>
      <c r="V69" s="3"/>
      <c r="W69" s="3"/>
      <c r="X69" s="3"/>
      <c r="Y69" s="3"/>
      <c r="Z69" s="3"/>
    </row>
    <row r="70" spans="1:26">
      <c r="A70" s="4"/>
      <c r="B70" s="6"/>
      <c r="C70" s="6"/>
      <c r="D70" s="33" t="s">
        <v>53</v>
      </c>
      <c r="E70" s="31"/>
      <c r="F70" s="31"/>
      <c r="G70" s="31"/>
      <c r="H70" s="31"/>
      <c r="I70" s="6"/>
      <c r="J70" s="6"/>
      <c r="K70" s="6"/>
      <c r="L70" s="6"/>
      <c r="M70" s="6"/>
      <c r="N70" s="6"/>
      <c r="O70" s="6"/>
      <c r="P70" s="6"/>
      <c r="Q70" s="6"/>
      <c r="R70" s="6"/>
      <c r="S70" s="6"/>
      <c r="T70" s="6"/>
      <c r="U70" s="3"/>
      <c r="V70" s="3"/>
      <c r="W70" s="3"/>
      <c r="X70" s="3"/>
      <c r="Y70" s="3"/>
      <c r="Z70" s="3"/>
    </row>
    <row r="71" spans="1:26">
      <c r="A71" s="4"/>
      <c r="B71" s="6"/>
      <c r="C71" s="6"/>
      <c r="D71" s="33" t="s">
        <v>54</v>
      </c>
      <c r="E71" s="31"/>
      <c r="F71" s="31"/>
      <c r="G71" s="31"/>
      <c r="H71" s="31"/>
      <c r="I71" s="31"/>
      <c r="J71" s="31"/>
      <c r="K71" s="31"/>
      <c r="L71" s="31"/>
      <c r="M71" s="31"/>
      <c r="N71" s="31"/>
      <c r="O71" s="31"/>
      <c r="P71" s="31"/>
      <c r="Q71" s="31"/>
      <c r="R71" s="31"/>
      <c r="S71" s="6"/>
      <c r="T71" s="6"/>
      <c r="U71" s="3"/>
      <c r="V71" s="3"/>
      <c r="W71" s="3"/>
      <c r="X71" s="3"/>
      <c r="Y71" s="3"/>
      <c r="Z71" s="3"/>
    </row>
    <row r="72" spans="1:26">
      <c r="A72" s="4"/>
      <c r="B72" s="6"/>
      <c r="C72" s="6"/>
      <c r="D72" s="33" t="s">
        <v>55</v>
      </c>
      <c r="E72" s="31"/>
      <c r="F72" s="31"/>
      <c r="G72" s="31"/>
      <c r="H72" s="31"/>
      <c r="I72" s="31"/>
      <c r="J72" s="31"/>
      <c r="K72" s="31"/>
      <c r="L72" s="31"/>
      <c r="M72" s="31"/>
      <c r="N72" s="31"/>
      <c r="O72" s="31"/>
      <c r="P72" s="31"/>
      <c r="Q72" s="31"/>
      <c r="R72" s="31"/>
      <c r="S72" s="6"/>
      <c r="T72" s="6"/>
      <c r="U72" s="3"/>
      <c r="V72" s="3"/>
      <c r="W72" s="3"/>
      <c r="X72" s="3"/>
      <c r="Y72" s="3"/>
      <c r="Z72" s="3"/>
    </row>
    <row r="73" spans="1:26">
      <c r="A73" s="4"/>
      <c r="B73" s="6"/>
      <c r="C73" s="6"/>
      <c r="D73" s="33" t="s">
        <v>56</v>
      </c>
      <c r="E73" s="31"/>
      <c r="F73" s="31"/>
      <c r="G73" s="31"/>
      <c r="H73" s="31"/>
      <c r="I73" s="31"/>
      <c r="J73" s="31"/>
      <c r="K73" s="31"/>
      <c r="L73" s="6"/>
      <c r="M73" s="6"/>
      <c r="N73" s="6"/>
      <c r="O73" s="6"/>
      <c r="P73" s="6"/>
      <c r="Q73" s="6"/>
      <c r="R73" s="6"/>
      <c r="S73" s="6"/>
      <c r="T73" s="6"/>
      <c r="U73" s="3"/>
      <c r="V73" s="3"/>
      <c r="W73" s="3"/>
      <c r="X73" s="3"/>
      <c r="Y73" s="3"/>
      <c r="Z73" s="3"/>
    </row>
    <row r="74" spans="1:26">
      <c r="A74" s="4"/>
      <c r="B74" s="6"/>
      <c r="C74" s="6"/>
      <c r="D74" s="6"/>
      <c r="E74" s="33" t="s">
        <v>57</v>
      </c>
      <c r="F74" s="31"/>
      <c r="G74" s="31"/>
      <c r="H74" s="31"/>
      <c r="I74" s="31"/>
      <c r="J74" s="31"/>
      <c r="K74" s="31"/>
      <c r="L74" s="31"/>
      <c r="M74" s="31"/>
      <c r="N74" s="31"/>
      <c r="O74" s="31"/>
      <c r="P74" s="31"/>
      <c r="Q74" s="31"/>
      <c r="R74" s="31"/>
      <c r="S74" s="31"/>
      <c r="T74" s="31"/>
      <c r="U74" s="3"/>
      <c r="V74" s="3"/>
      <c r="W74" s="3"/>
      <c r="X74" s="3"/>
      <c r="Y74" s="3"/>
      <c r="Z74" s="3"/>
    </row>
    <row r="75" spans="1:26">
      <c r="A75" s="4"/>
      <c r="B75" s="6"/>
      <c r="C75" s="6"/>
      <c r="D75" s="6"/>
      <c r="E75" s="33" t="s">
        <v>58</v>
      </c>
      <c r="F75" s="31"/>
      <c r="G75" s="31"/>
      <c r="H75" s="31"/>
      <c r="I75" s="31"/>
      <c r="J75" s="31"/>
      <c r="K75" s="31"/>
      <c r="L75" s="31"/>
      <c r="M75" s="6"/>
      <c r="N75" s="6"/>
      <c r="O75" s="6"/>
      <c r="P75" s="6"/>
      <c r="Q75" s="6"/>
      <c r="R75" s="6"/>
      <c r="S75" s="6"/>
      <c r="T75" s="6"/>
      <c r="U75" s="3"/>
      <c r="V75" s="3"/>
      <c r="W75" s="3"/>
      <c r="X75" s="3"/>
      <c r="Y75" s="3"/>
      <c r="Z75" s="3"/>
    </row>
    <row r="76" spans="1:26" ht="14.25" customHeight="1">
      <c r="A76" s="4"/>
      <c r="B76" s="3"/>
      <c r="C76" s="3"/>
      <c r="D76" s="3"/>
      <c r="E76" s="3"/>
      <c r="F76" s="3"/>
      <c r="G76" s="3"/>
      <c r="H76" s="3"/>
      <c r="I76" s="3"/>
      <c r="J76" s="3"/>
      <c r="K76" s="3"/>
      <c r="L76" s="3"/>
      <c r="M76" s="3"/>
      <c r="N76" s="3"/>
      <c r="O76" s="3"/>
      <c r="P76" s="3"/>
      <c r="Q76" s="3"/>
      <c r="R76" s="3"/>
      <c r="S76" s="3"/>
      <c r="T76" s="3"/>
      <c r="U76" s="3"/>
      <c r="V76" s="3"/>
      <c r="W76" s="3"/>
      <c r="X76" s="3"/>
      <c r="Y76" s="3"/>
      <c r="Z76" s="3"/>
    </row>
    <row r="77" spans="1:26" ht="18" customHeight="1">
      <c r="A77" s="4"/>
      <c r="B77" s="7"/>
      <c r="C77" s="30" t="s">
        <v>59</v>
      </c>
      <c r="D77" s="31"/>
      <c r="E77" s="31"/>
      <c r="F77" s="31"/>
      <c r="G77" s="31"/>
      <c r="H77" s="31"/>
      <c r="I77" s="31"/>
      <c r="J77" s="31"/>
      <c r="K77" s="31"/>
      <c r="L77" s="31"/>
      <c r="M77" s="31"/>
      <c r="N77" s="31"/>
      <c r="O77" s="31"/>
      <c r="P77" s="31"/>
      <c r="Q77" s="31"/>
      <c r="R77" s="31"/>
      <c r="S77" s="31"/>
      <c r="T77" s="31"/>
      <c r="U77" s="31"/>
      <c r="V77" s="31"/>
      <c r="W77" s="31"/>
      <c r="X77" s="31"/>
      <c r="Y77" s="31"/>
      <c r="Z77" s="31"/>
    </row>
    <row r="78" spans="1:26" ht="14.25" customHeight="1"/>
    <row r="79" spans="1:26" ht="14.25" customHeight="1"/>
    <row r="80" spans="1:2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62">
    <mergeCell ref="C4:Z4"/>
    <mergeCell ref="C10:Q10"/>
    <mergeCell ref="D61:I61"/>
    <mergeCell ref="D21:I21"/>
    <mergeCell ref="M60:M61"/>
    <mergeCell ref="D49:I49"/>
    <mergeCell ref="D37:M37"/>
    <mergeCell ref="C25:H25"/>
    <mergeCell ref="C26:H26"/>
    <mergeCell ref="C23:F23"/>
    <mergeCell ref="C14:P14"/>
    <mergeCell ref="D38:M38"/>
    <mergeCell ref="D45:H45"/>
    <mergeCell ref="E44:I44"/>
    <mergeCell ref="C29:D29"/>
    <mergeCell ref="D32:M32"/>
    <mergeCell ref="C15:N15"/>
    <mergeCell ref="C20:H20"/>
    <mergeCell ref="C11:N11"/>
    <mergeCell ref="C41:D41"/>
    <mergeCell ref="D71:R71"/>
    <mergeCell ref="D56:I56"/>
    <mergeCell ref="D70:H70"/>
    <mergeCell ref="D55:L55"/>
    <mergeCell ref="D65:P65"/>
    <mergeCell ref="C13:T13"/>
    <mergeCell ref="C68:E68"/>
    <mergeCell ref="D60:L60"/>
    <mergeCell ref="C24:K24"/>
    <mergeCell ref="C30:K30"/>
    <mergeCell ref="C58:E58"/>
    <mergeCell ref="D66:I66"/>
    <mergeCell ref="D31:H31"/>
    <mergeCell ref="D22:H22"/>
    <mergeCell ref="C2:Z2"/>
    <mergeCell ref="C8:E8"/>
    <mergeCell ref="E50:N50"/>
    <mergeCell ref="C54:J54"/>
    <mergeCell ref="C36:Q36"/>
    <mergeCell ref="C17:H17"/>
    <mergeCell ref="D39:F39"/>
    <mergeCell ref="C9:S9"/>
    <mergeCell ref="D51:I51"/>
    <mergeCell ref="D47:H47"/>
    <mergeCell ref="C19:E19"/>
    <mergeCell ref="D43:H43"/>
    <mergeCell ref="C35:F35"/>
    <mergeCell ref="E48:K48"/>
    <mergeCell ref="C18:E18"/>
    <mergeCell ref="C27:M27"/>
    <mergeCell ref="C77:Z77"/>
    <mergeCell ref="C42:T42"/>
    <mergeCell ref="D73:K73"/>
    <mergeCell ref="E74:T74"/>
    <mergeCell ref="E46:K46"/>
    <mergeCell ref="C53:D53"/>
    <mergeCell ref="C59:O59"/>
    <mergeCell ref="E75:L75"/>
    <mergeCell ref="C64:Q64"/>
    <mergeCell ref="D72:R72"/>
    <mergeCell ref="C69:L69"/>
    <mergeCell ref="C63:D63"/>
  </mergeCells>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showGridLines="0" workbookViewId="0">
      <pane ySplit="2" topLeftCell="A3" activePane="bottomLeft" state="frozen"/>
      <selection pane="bottomLeft" activeCell="K13" sqref="K13"/>
    </sheetView>
  </sheetViews>
  <sheetFormatPr defaultRowHeight="12.75"/>
  <cols>
    <col min="1" max="1" width="22" customWidth="1"/>
    <col min="2" max="2" width="14" customWidth="1"/>
    <col min="3" max="5" width="4" customWidth="1"/>
    <col min="6" max="6" width="24" customWidth="1"/>
    <col min="7" max="7" width="19" bestFit="1" customWidth="1"/>
    <col min="8" max="9" width="4" customWidth="1"/>
  </cols>
  <sheetData>
    <row r="1" spans="1:9" ht="27.95" customHeight="1">
      <c r="A1" s="38" t="s">
        <v>60</v>
      </c>
      <c r="B1" s="31"/>
      <c r="C1" s="31"/>
      <c r="D1" s="31"/>
      <c r="E1" s="31"/>
      <c r="F1" s="31"/>
      <c r="G1" s="31"/>
      <c r="H1" s="31"/>
      <c r="I1" s="31"/>
    </row>
    <row r="2" spans="1:9" ht="21.95" customHeight="1">
      <c r="A2" s="14"/>
      <c r="B2" s="14"/>
      <c r="C2" s="14"/>
      <c r="D2" s="14"/>
      <c r="E2" s="14"/>
      <c r="F2" s="14"/>
      <c r="G2" s="14"/>
      <c r="H2" s="14"/>
      <c r="I2" s="14"/>
    </row>
    <row r="3" spans="1:9" ht="21.95" customHeight="1">
      <c r="A3" s="39" t="s">
        <v>61</v>
      </c>
      <c r="B3" s="31"/>
      <c r="C3" s="31"/>
      <c r="D3" s="31"/>
      <c r="E3" s="14"/>
      <c r="F3" s="39" t="s">
        <v>62</v>
      </c>
      <c r="G3" s="31"/>
      <c r="H3" s="31"/>
      <c r="I3" s="31"/>
    </row>
    <row r="4" spans="1:9" ht="21.95" customHeight="1">
      <c r="A4" s="15" t="s">
        <v>63</v>
      </c>
      <c r="B4" s="16">
        <f>COUNTA(音声!$B$3:$B$52)</f>
        <v>50</v>
      </c>
      <c r="C4" s="14"/>
      <c r="D4" s="14"/>
      <c r="E4" s="14"/>
      <c r="F4" s="15" t="s">
        <v>63</v>
      </c>
      <c r="G4" s="16">
        <f>COUNTA(イラスト!$B$3:$B$242)</f>
        <v>240</v>
      </c>
      <c r="H4" s="14"/>
      <c r="I4" s="14"/>
    </row>
    <row r="5" spans="1:9" ht="21.95" customHeight="1">
      <c r="A5" s="15" t="s">
        <v>64</v>
      </c>
      <c r="B5" s="16">
        <f>COUNTIF(音声!$L$3:$L$52,"〇")</f>
        <v>50</v>
      </c>
      <c r="C5" s="14"/>
      <c r="D5" s="14"/>
      <c r="E5" s="14"/>
      <c r="F5" s="15" t="s">
        <v>64</v>
      </c>
      <c r="G5" s="16">
        <f>COUNTIF(イラスト!$K$3:$K$242,"〇")</f>
        <v>234</v>
      </c>
      <c r="H5" s="14"/>
      <c r="I5" s="14"/>
    </row>
    <row r="6" spans="1:9" ht="21.95" customHeight="1">
      <c r="A6" s="15" t="s">
        <v>65</v>
      </c>
      <c r="B6" s="16">
        <f>COUNTBLANK(音声!$L$3:$L$52)</f>
        <v>0</v>
      </c>
      <c r="C6" s="14"/>
      <c r="D6" s="14"/>
      <c r="E6" s="14"/>
      <c r="F6" s="15" t="s">
        <v>65</v>
      </c>
      <c r="G6" s="16">
        <f>COUNTBLANK(イラスト!$K$3:$K$242)</f>
        <v>6</v>
      </c>
      <c r="H6" s="14"/>
      <c r="I6" s="14"/>
    </row>
    <row r="7" spans="1:9" ht="21.95" customHeight="1">
      <c r="A7" s="15" t="s">
        <v>66</v>
      </c>
      <c r="B7" s="16">
        <f>COUNTIF(音声!$M$3:$M$52,"〇")</f>
        <v>45</v>
      </c>
      <c r="C7" s="14"/>
      <c r="D7" s="14"/>
      <c r="E7" s="14"/>
      <c r="F7" s="15" t="s">
        <v>66</v>
      </c>
      <c r="G7" s="16">
        <f>COUNTIF(イラスト!$L$3:$L$242,"〇")</f>
        <v>196</v>
      </c>
      <c r="H7" s="14"/>
      <c r="I7" s="14"/>
    </row>
    <row r="8" spans="1:9" ht="21.95" customHeight="1">
      <c r="A8" s="15" t="s">
        <v>67</v>
      </c>
      <c r="B8" s="16">
        <f>COUNTBLANK(音声!$M$3:$M$52)</f>
        <v>5</v>
      </c>
      <c r="C8" s="14"/>
      <c r="D8" s="14"/>
      <c r="E8" s="14"/>
      <c r="F8" s="15" t="s">
        <v>67</v>
      </c>
      <c r="G8" s="16">
        <f>COUNTBLANK(イラスト!$L$3:$L$242)</f>
        <v>44</v>
      </c>
      <c r="H8" s="14"/>
      <c r="I8" s="14"/>
    </row>
    <row r="9" spans="1:9" ht="21.95" customHeight="1">
      <c r="A9" s="15" t="s">
        <v>68</v>
      </c>
      <c r="B9" s="16">
        <f>COUNTIF(音声!$E$3:$E$52,"〇")</f>
        <v>18</v>
      </c>
      <c r="C9" s="14"/>
      <c r="D9" s="14"/>
      <c r="E9" s="14"/>
      <c r="F9" s="15" t="s">
        <v>69</v>
      </c>
      <c r="G9" s="16">
        <f>COUNTIF(イラスト!$C$3:$C$242,"UI")</f>
        <v>137</v>
      </c>
      <c r="H9" s="14"/>
      <c r="I9" s="14"/>
    </row>
    <row r="10" spans="1:9" ht="21.95" customHeight="1">
      <c r="A10" s="15" t="s">
        <v>70</v>
      </c>
      <c r="B10" s="16">
        <f>COUNTBLANK(音声!$E$3:$E$52)</f>
        <v>32</v>
      </c>
      <c r="C10" s="14"/>
      <c r="D10" s="14"/>
      <c r="E10" s="14"/>
      <c r="F10" s="15" t="s">
        <v>71</v>
      </c>
      <c r="G10" s="16">
        <f>COUNTIF(イラスト!$C$3:$C$242,"背景")</f>
        <v>15</v>
      </c>
      <c r="H10" s="14"/>
      <c r="I10" s="14"/>
    </row>
    <row r="11" spans="1:9" ht="21.95" customHeight="1">
      <c r="A11" s="15" t="s">
        <v>72</v>
      </c>
      <c r="B11" s="16">
        <f>COUNTIF(音声!$C$3:$C$52,"BGM")</f>
        <v>18</v>
      </c>
      <c r="C11" s="14"/>
      <c r="D11" s="14"/>
      <c r="E11" s="14"/>
      <c r="F11" s="15" t="s">
        <v>73</v>
      </c>
      <c r="G11" s="16">
        <f>COUNTIF(イラスト!$C$3:$C$242,"イベントCG")</f>
        <v>9</v>
      </c>
      <c r="H11" s="14"/>
      <c r="I11" s="14"/>
    </row>
    <row r="12" spans="1:9" ht="21.95" customHeight="1">
      <c r="A12" s="15" t="s">
        <v>74</v>
      </c>
      <c r="B12" s="16">
        <f>COUNTIF(音声!$C$3:$C$52,"SE")</f>
        <v>16</v>
      </c>
      <c r="C12" s="14"/>
      <c r="D12" s="14"/>
      <c r="E12" s="14"/>
      <c r="F12" s="15" t="s">
        <v>75</v>
      </c>
      <c r="G12" s="16">
        <f>COUNTIF(イラスト!$C$3:$C$242,"キャラクター")</f>
        <v>32</v>
      </c>
      <c r="H12" s="14"/>
      <c r="I12" s="14"/>
    </row>
    <row r="13" spans="1:9" ht="21.95" customHeight="1">
      <c r="A13" s="15" t="s">
        <v>76</v>
      </c>
      <c r="B13" s="16">
        <f>COUNTIF(音声!$C$3:$C$52,"VOICE")</f>
        <v>16</v>
      </c>
      <c r="C13" s="14"/>
      <c r="D13" s="14"/>
      <c r="E13" s="14"/>
      <c r="F13" s="15" t="s">
        <v>77</v>
      </c>
      <c r="G13" s="16">
        <f>COUNTIF(イラスト!$C$3:$C$242,"エフェクト")</f>
        <v>20</v>
      </c>
      <c r="H13" s="14"/>
      <c r="I13" s="14"/>
    </row>
    <row r="14" spans="1:9" ht="21.95" customHeight="1">
      <c r="A14" s="15" t="s">
        <v>78</v>
      </c>
      <c r="B14" s="16">
        <f>COUNTIF(音声!$F$3:$F$52,"命名要修正")</f>
        <v>49</v>
      </c>
      <c r="C14" s="14"/>
      <c r="D14" s="14"/>
      <c r="E14" s="14"/>
      <c r="F14" s="15" t="s">
        <v>79</v>
      </c>
      <c r="G14" s="16">
        <f>COUNTIF(イラスト!$C$3:$C$242,"参考画像")</f>
        <v>18</v>
      </c>
      <c r="H14" s="14"/>
      <c r="I14" s="14"/>
    </row>
    <row r="15" spans="1:9" ht="21.95" customHeight="1">
      <c r="A15" s="15" t="s">
        <v>80</v>
      </c>
      <c r="B15" s="16">
        <f>COUNTIF(音声!$F$3:$F$52,"Unityのみ/命名要修正")</f>
        <v>1</v>
      </c>
      <c r="C15" s="14"/>
      <c r="D15" s="14"/>
      <c r="E15" s="14"/>
      <c r="F15" s="15" t="s">
        <v>81</v>
      </c>
      <c r="G15" s="16">
        <f>COUNTIF(イラスト!$C$3:$C$242,"デスクトップ/Googru")</f>
        <v>7</v>
      </c>
      <c r="H15" s="14"/>
      <c r="I15" s="14"/>
    </row>
    <row r="16" spans="1:9" ht="21.95" customHeight="1">
      <c r="A16" s="15" t="s">
        <v>82</v>
      </c>
      <c r="B16" s="16">
        <f>COUNTIF(音声!$F$3:$F$52,"未取込")</f>
        <v>0</v>
      </c>
      <c r="C16" s="14"/>
      <c r="D16" s="14"/>
      <c r="E16" s="14"/>
      <c r="F16" s="15" t="s">
        <v>83</v>
      </c>
      <c r="G16" s="16">
        <f>COUNTIF(イラスト!$C$3:$C$242,"ロゴ")</f>
        <v>2</v>
      </c>
      <c r="H16" s="14"/>
      <c r="I16" s="14"/>
    </row>
    <row r="17" spans="1:9" ht="21.95" customHeight="1">
      <c r="A17" s="15" t="s">
        <v>84</v>
      </c>
      <c r="B17" s="16">
        <f>COUNTIF(音声!$F$3:$F$52,"OK")</f>
        <v>0</v>
      </c>
      <c r="C17" s="14"/>
      <c r="D17" s="14"/>
      <c r="E17" s="14"/>
      <c r="F17" s="15" t="s">
        <v>78</v>
      </c>
      <c r="G17" s="16">
        <f>COUNTIF(イラスト!$E$3:$E$242,"命名要修正")</f>
        <v>212</v>
      </c>
      <c r="H17" s="14"/>
      <c r="I17" s="14"/>
    </row>
    <row r="18" spans="1:9" ht="21.95" customHeight="1">
      <c r="A18" s="14"/>
      <c r="B18" s="14"/>
      <c r="C18" s="14"/>
      <c r="D18" s="14"/>
      <c r="E18" s="14"/>
      <c r="F18" s="15" t="s">
        <v>80</v>
      </c>
      <c r="G18" s="16">
        <f>COUNTIF(イラスト!$E$3:$E$242,"Unityのみ/命名要修正")</f>
        <v>22</v>
      </c>
      <c r="H18" s="14"/>
      <c r="I18" s="14"/>
    </row>
    <row r="19" spans="1:9" ht="21.95" customHeight="1">
      <c r="A19" s="14"/>
      <c r="B19" s="14"/>
      <c r="C19" s="14"/>
      <c r="D19" s="14"/>
      <c r="E19" s="14"/>
      <c r="F19" s="15" t="s">
        <v>82</v>
      </c>
      <c r="G19" s="16">
        <f>COUNTIF(イラスト!$E$3:$E$242,"未取込")</f>
        <v>6</v>
      </c>
      <c r="H19" s="14"/>
      <c r="I19" s="14"/>
    </row>
    <row r="20" spans="1:9" ht="21.95" customHeight="1">
      <c r="A20" s="14"/>
      <c r="B20" s="14"/>
      <c r="C20" s="14"/>
      <c r="D20" s="14"/>
      <c r="E20" s="14"/>
      <c r="F20" s="15" t="s">
        <v>84</v>
      </c>
      <c r="G20" s="16">
        <f>COUNTIF(イラスト!$E$3:$E$242,"OK")</f>
        <v>0</v>
      </c>
      <c r="H20" s="14"/>
      <c r="I20" s="14"/>
    </row>
    <row r="21" spans="1:9" ht="21.95" customHeight="1">
      <c r="A21" s="14"/>
      <c r="B21" s="14"/>
      <c r="C21" s="14"/>
      <c r="D21" s="14"/>
      <c r="E21" s="14"/>
      <c r="F21" s="14"/>
      <c r="G21" s="14"/>
      <c r="H21" s="14"/>
      <c r="I21" s="14"/>
    </row>
    <row r="22" spans="1:9" ht="21.95" customHeight="1">
      <c r="A22" s="14"/>
      <c r="B22" s="14"/>
      <c r="C22" s="14"/>
      <c r="D22" s="14"/>
      <c r="E22" s="14"/>
      <c r="F22" s="14"/>
      <c r="G22" s="14"/>
      <c r="H22" s="14"/>
      <c r="I22" s="14"/>
    </row>
    <row r="23" spans="1:9" ht="21.95" customHeight="1">
      <c r="A23" s="15" t="s">
        <v>85</v>
      </c>
      <c r="B23" s="16" t="s">
        <v>86</v>
      </c>
      <c r="C23" s="14"/>
      <c r="D23" s="14"/>
      <c r="E23" s="14"/>
      <c r="F23" s="15" t="s">
        <v>85</v>
      </c>
      <c r="G23" s="16" t="s">
        <v>87</v>
      </c>
      <c r="H23" s="14"/>
      <c r="I23" s="14"/>
    </row>
    <row r="24" spans="1:9" ht="21.95" customHeight="1"/>
  </sheetData>
  <mergeCells count="3">
    <mergeCell ref="A1:I1"/>
    <mergeCell ref="F3:I3"/>
    <mergeCell ref="A3:D3"/>
  </mergeCells>
  <phoneticPr fontId="1"/>
  <pageMargins left="0.75" right="0.75"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52"/>
  <sheetViews>
    <sheetView topLeftCell="G1" workbookViewId="0">
      <pane ySplit="2" topLeftCell="A3" activePane="bottomLeft" state="frozen"/>
      <selection pane="bottomLeft" activeCell="G10" sqref="G10"/>
    </sheetView>
  </sheetViews>
  <sheetFormatPr defaultColWidth="128.28515625" defaultRowHeight="14.25"/>
  <cols>
    <col min="1" max="1" width="8" style="17" bestFit="1" customWidth="1"/>
    <col min="2" max="2" width="62" style="17" bestFit="1" customWidth="1"/>
    <col min="3" max="3" width="12" style="17" bestFit="1" customWidth="1"/>
    <col min="4" max="4" width="60" style="17" bestFit="1" customWidth="1"/>
    <col min="5" max="5" width="10" style="17" bestFit="1" customWidth="1"/>
    <col min="6" max="6" width="22" style="17" bestFit="1" customWidth="1"/>
    <col min="7" max="7" width="13" style="17" bestFit="1" customWidth="1"/>
    <col min="8" max="8" width="66" style="17" bestFit="1" customWidth="1"/>
    <col min="9" max="9" width="34" style="17" bestFit="1" customWidth="1"/>
    <col min="10" max="10" width="82" style="17" bestFit="1" customWidth="1"/>
    <col min="11" max="11" width="104" style="17" bestFit="1" customWidth="1"/>
    <col min="12" max="12" width="13" style="17" bestFit="1" customWidth="1"/>
    <col min="13" max="13" width="13" style="17" customWidth="1"/>
    <col min="14" max="14" width="116" style="17" bestFit="1" customWidth="1"/>
    <col min="15" max="15" width="50" style="17" bestFit="1" customWidth="1"/>
    <col min="16" max="16" width="128.28515625" style="17" customWidth="1"/>
    <col min="17" max="16384" width="128.28515625" style="17"/>
  </cols>
  <sheetData>
    <row r="1" spans="1:15">
      <c r="A1" s="40"/>
      <c r="B1" s="40"/>
      <c r="C1" s="40"/>
      <c r="D1" s="40"/>
      <c r="E1" s="40"/>
      <c r="F1" s="40"/>
      <c r="G1" s="40"/>
      <c r="H1" s="40"/>
      <c r="I1" s="40"/>
      <c r="J1" s="40"/>
      <c r="K1" s="40"/>
      <c r="L1" s="40"/>
      <c r="M1" s="40"/>
      <c r="N1" s="40"/>
      <c r="O1" s="40"/>
    </row>
    <row r="2" spans="1:15">
      <c r="A2" s="18" t="s">
        <v>88</v>
      </c>
      <c r="B2" s="18" t="s">
        <v>89</v>
      </c>
      <c r="C2" s="19" t="s">
        <v>90</v>
      </c>
      <c r="D2" s="19" t="s">
        <v>91</v>
      </c>
      <c r="E2" s="19" t="s">
        <v>92</v>
      </c>
      <c r="F2" s="19" t="s">
        <v>93</v>
      </c>
      <c r="G2" s="18" t="s">
        <v>94</v>
      </c>
      <c r="H2" s="18" t="s">
        <v>95</v>
      </c>
      <c r="I2" s="18" t="s">
        <v>96</v>
      </c>
      <c r="J2" s="18" t="s">
        <v>97</v>
      </c>
      <c r="K2" s="18" t="s">
        <v>98</v>
      </c>
      <c r="L2" s="18" t="s">
        <v>99</v>
      </c>
      <c r="M2" s="18" t="s">
        <v>100</v>
      </c>
      <c r="N2" s="18" t="s">
        <v>101</v>
      </c>
      <c r="O2" s="18" t="s">
        <v>102</v>
      </c>
    </row>
    <row r="3" spans="1:15">
      <c r="A3" s="20">
        <v>1</v>
      </c>
      <c r="B3" s="21" t="s">
        <v>103</v>
      </c>
      <c r="C3" s="22" t="s">
        <v>72</v>
      </c>
      <c r="D3" s="22" t="s">
        <v>104</v>
      </c>
      <c r="E3" s="22" t="s">
        <v>105</v>
      </c>
      <c r="F3" s="23" t="s">
        <v>78</v>
      </c>
      <c r="G3" s="24" t="s">
        <v>106</v>
      </c>
      <c r="H3" s="20" t="s">
        <v>107</v>
      </c>
      <c r="I3" s="20" t="s">
        <v>108</v>
      </c>
      <c r="J3" s="20" t="s">
        <v>109</v>
      </c>
      <c r="K3" s="20" t="s">
        <v>110</v>
      </c>
      <c r="L3" s="20" t="s">
        <v>105</v>
      </c>
      <c r="M3" s="20" t="s">
        <v>105</v>
      </c>
      <c r="N3" s="20" t="s">
        <v>111</v>
      </c>
      <c r="O3" s="20"/>
    </row>
    <row r="4" spans="1:15">
      <c r="A4" s="20">
        <v>2</v>
      </c>
      <c r="B4" s="21" t="s">
        <v>112</v>
      </c>
      <c r="C4" s="25" t="s">
        <v>72</v>
      </c>
      <c r="D4" s="25" t="s">
        <v>113</v>
      </c>
      <c r="E4" s="25" t="s">
        <v>105</v>
      </c>
      <c r="F4" s="23" t="s">
        <v>78</v>
      </c>
      <c r="G4" s="26" t="s">
        <v>106</v>
      </c>
      <c r="H4" s="20" t="s">
        <v>114</v>
      </c>
      <c r="I4" s="20" t="s">
        <v>115</v>
      </c>
      <c r="J4" s="20" t="s">
        <v>116</v>
      </c>
      <c r="K4" s="20" t="s">
        <v>117</v>
      </c>
      <c r="L4" s="20" t="s">
        <v>105</v>
      </c>
      <c r="M4" s="20" t="s">
        <v>105</v>
      </c>
      <c r="N4" s="20" t="s">
        <v>118</v>
      </c>
      <c r="O4" s="20"/>
    </row>
    <row r="5" spans="1:15">
      <c r="A5" s="20">
        <v>3</v>
      </c>
      <c r="B5" s="21" t="s">
        <v>119</v>
      </c>
      <c r="C5" s="22" t="s">
        <v>72</v>
      </c>
      <c r="D5" s="22" t="s">
        <v>120</v>
      </c>
      <c r="E5" s="22" t="s">
        <v>105</v>
      </c>
      <c r="F5" s="23" t="s">
        <v>78</v>
      </c>
      <c r="G5" s="24" t="s">
        <v>121</v>
      </c>
      <c r="H5" s="20" t="s">
        <v>122</v>
      </c>
      <c r="I5" s="20" t="s">
        <v>123</v>
      </c>
      <c r="J5" s="20" t="s">
        <v>124</v>
      </c>
      <c r="K5" s="20" t="s">
        <v>125</v>
      </c>
      <c r="L5" s="20" t="s">
        <v>105</v>
      </c>
      <c r="M5" s="20" t="s">
        <v>105</v>
      </c>
      <c r="N5" s="20" t="s">
        <v>118</v>
      </c>
      <c r="O5" s="20"/>
    </row>
    <row r="6" spans="1:15">
      <c r="A6" s="20">
        <v>4</v>
      </c>
      <c r="B6" s="21" t="s">
        <v>126</v>
      </c>
      <c r="C6" s="25" t="s">
        <v>72</v>
      </c>
      <c r="D6" s="25" t="s">
        <v>127</v>
      </c>
      <c r="E6" s="25" t="s">
        <v>105</v>
      </c>
      <c r="F6" s="23" t="s">
        <v>78</v>
      </c>
      <c r="G6" s="26" t="s">
        <v>128</v>
      </c>
      <c r="H6" s="20" t="s">
        <v>129</v>
      </c>
      <c r="I6" s="20" t="s">
        <v>130</v>
      </c>
      <c r="J6" s="20" t="s">
        <v>131</v>
      </c>
      <c r="K6" s="20" t="s">
        <v>132</v>
      </c>
      <c r="L6" s="20" t="s">
        <v>105</v>
      </c>
      <c r="M6" s="20" t="s">
        <v>105</v>
      </c>
      <c r="N6" s="20" t="s">
        <v>133</v>
      </c>
      <c r="O6" s="20"/>
    </row>
    <row r="7" spans="1:15">
      <c r="A7" s="20">
        <v>5</v>
      </c>
      <c r="B7" s="21" t="s">
        <v>134</v>
      </c>
      <c r="C7" s="22" t="s">
        <v>72</v>
      </c>
      <c r="D7" s="22" t="s">
        <v>135</v>
      </c>
      <c r="E7" s="22" t="s">
        <v>105</v>
      </c>
      <c r="F7" s="23" t="s">
        <v>78</v>
      </c>
      <c r="G7" s="24" t="s">
        <v>106</v>
      </c>
      <c r="H7" s="20" t="s">
        <v>136</v>
      </c>
      <c r="I7" s="20" t="s">
        <v>137</v>
      </c>
      <c r="J7" s="20" t="s">
        <v>138</v>
      </c>
      <c r="K7" s="20" t="s">
        <v>139</v>
      </c>
      <c r="L7" s="20" t="s">
        <v>105</v>
      </c>
      <c r="M7" s="20" t="s">
        <v>105</v>
      </c>
      <c r="N7" s="20" t="s">
        <v>140</v>
      </c>
      <c r="O7" s="20"/>
    </row>
    <row r="8" spans="1:15">
      <c r="A8" s="20">
        <v>6</v>
      </c>
      <c r="B8" s="21" t="s">
        <v>141</v>
      </c>
      <c r="C8" s="25" t="s">
        <v>72</v>
      </c>
      <c r="D8" s="25" t="s">
        <v>142</v>
      </c>
      <c r="E8" s="25" t="s">
        <v>105</v>
      </c>
      <c r="F8" s="23" t="s">
        <v>78</v>
      </c>
      <c r="G8" s="26" t="s">
        <v>121</v>
      </c>
      <c r="H8" s="20" t="s">
        <v>143</v>
      </c>
      <c r="I8" s="20" t="s">
        <v>144</v>
      </c>
      <c r="J8" s="20" t="s">
        <v>145</v>
      </c>
      <c r="K8" s="20" t="s">
        <v>146</v>
      </c>
      <c r="L8" s="20" t="s">
        <v>105</v>
      </c>
      <c r="M8" s="20" t="s">
        <v>105</v>
      </c>
      <c r="N8" s="20" t="s">
        <v>140</v>
      </c>
      <c r="O8" s="20"/>
    </row>
    <row r="9" spans="1:15">
      <c r="A9" s="20">
        <v>7</v>
      </c>
      <c r="B9" s="21" t="s">
        <v>147</v>
      </c>
      <c r="C9" s="22" t="s">
        <v>72</v>
      </c>
      <c r="D9" s="22" t="s">
        <v>148</v>
      </c>
      <c r="E9" s="22" t="s">
        <v>105</v>
      </c>
      <c r="F9" s="23" t="s">
        <v>78</v>
      </c>
      <c r="G9" s="24" t="s">
        <v>106</v>
      </c>
      <c r="H9" s="20" t="s">
        <v>149</v>
      </c>
      <c r="I9" s="20" t="s">
        <v>150</v>
      </c>
      <c r="J9" s="20" t="s">
        <v>151</v>
      </c>
      <c r="K9" s="20" t="s">
        <v>152</v>
      </c>
      <c r="L9" s="20" t="s">
        <v>105</v>
      </c>
      <c r="M9" s="20" t="s">
        <v>105</v>
      </c>
      <c r="N9" s="20" t="s">
        <v>153</v>
      </c>
      <c r="O9" s="20"/>
    </row>
    <row r="10" spans="1:15">
      <c r="A10" s="20">
        <v>8</v>
      </c>
      <c r="B10" s="21" t="s">
        <v>154</v>
      </c>
      <c r="C10" s="25" t="s">
        <v>72</v>
      </c>
      <c r="D10" s="25" t="s">
        <v>155</v>
      </c>
      <c r="E10" s="25" t="s">
        <v>105</v>
      </c>
      <c r="F10" s="23" t="s">
        <v>78</v>
      </c>
      <c r="G10" s="26" t="s">
        <v>121</v>
      </c>
      <c r="H10" s="20" t="s">
        <v>156</v>
      </c>
      <c r="I10" s="20" t="s">
        <v>157</v>
      </c>
      <c r="J10" s="20" t="s">
        <v>158</v>
      </c>
      <c r="K10" s="20" t="s">
        <v>159</v>
      </c>
      <c r="L10" s="20" t="s">
        <v>105</v>
      </c>
      <c r="M10" s="20" t="s">
        <v>105</v>
      </c>
      <c r="N10" s="20" t="s">
        <v>153</v>
      </c>
      <c r="O10" s="20"/>
    </row>
    <row r="11" spans="1:15">
      <c r="A11" s="20">
        <v>9</v>
      </c>
      <c r="B11" s="21" t="s">
        <v>160</v>
      </c>
      <c r="C11" s="22" t="s">
        <v>72</v>
      </c>
      <c r="D11" s="22" t="s">
        <v>161</v>
      </c>
      <c r="E11" s="22" t="s">
        <v>105</v>
      </c>
      <c r="F11" s="23" t="s">
        <v>78</v>
      </c>
      <c r="G11" s="24" t="s">
        <v>106</v>
      </c>
      <c r="H11" s="20" t="s">
        <v>162</v>
      </c>
      <c r="I11" s="20" t="s">
        <v>163</v>
      </c>
      <c r="J11" s="20" t="s">
        <v>164</v>
      </c>
      <c r="K11" s="20" t="s">
        <v>165</v>
      </c>
      <c r="L11" s="20" t="s">
        <v>105</v>
      </c>
      <c r="M11" s="20" t="s">
        <v>105</v>
      </c>
      <c r="N11" s="20" t="s">
        <v>166</v>
      </c>
      <c r="O11" s="20"/>
    </row>
    <row r="12" spans="1:15">
      <c r="A12" s="20">
        <v>10</v>
      </c>
      <c r="B12" s="21" t="s">
        <v>167</v>
      </c>
      <c r="C12" s="25" t="s">
        <v>72</v>
      </c>
      <c r="D12" s="25" t="s">
        <v>168</v>
      </c>
      <c r="E12" s="25" t="s">
        <v>105</v>
      </c>
      <c r="F12" s="23" t="s">
        <v>78</v>
      </c>
      <c r="G12" s="26" t="s">
        <v>121</v>
      </c>
      <c r="H12" s="20" t="s">
        <v>169</v>
      </c>
      <c r="I12" s="20" t="s">
        <v>170</v>
      </c>
      <c r="J12" s="20" t="s">
        <v>171</v>
      </c>
      <c r="K12" s="20" t="s">
        <v>172</v>
      </c>
      <c r="L12" s="20" t="s">
        <v>105</v>
      </c>
      <c r="M12" s="20" t="s">
        <v>105</v>
      </c>
      <c r="N12" s="20" t="s">
        <v>166</v>
      </c>
      <c r="O12" s="20"/>
    </row>
    <row r="13" spans="1:15">
      <c r="A13" s="20">
        <v>11</v>
      </c>
      <c r="B13" s="21" t="s">
        <v>173</v>
      </c>
      <c r="C13" s="22" t="s">
        <v>72</v>
      </c>
      <c r="D13" s="22" t="s">
        <v>174</v>
      </c>
      <c r="E13" s="22" t="s">
        <v>105</v>
      </c>
      <c r="F13" s="23" t="s">
        <v>78</v>
      </c>
      <c r="G13" s="24" t="s">
        <v>106</v>
      </c>
      <c r="H13" s="20" t="s">
        <v>175</v>
      </c>
      <c r="I13" s="20" t="s">
        <v>176</v>
      </c>
      <c r="J13" s="20" t="s">
        <v>177</v>
      </c>
      <c r="K13" s="20" t="s">
        <v>178</v>
      </c>
      <c r="L13" s="20" t="s">
        <v>105</v>
      </c>
      <c r="M13" s="20" t="s">
        <v>105</v>
      </c>
      <c r="N13" s="20" t="s">
        <v>179</v>
      </c>
      <c r="O13" s="20"/>
    </row>
    <row r="14" spans="1:15">
      <c r="A14" s="20">
        <v>12</v>
      </c>
      <c r="B14" s="21" t="s">
        <v>180</v>
      </c>
      <c r="C14" s="25" t="s">
        <v>72</v>
      </c>
      <c r="D14" s="25" t="s">
        <v>181</v>
      </c>
      <c r="E14" s="25" t="s">
        <v>105</v>
      </c>
      <c r="F14" s="23" t="s">
        <v>78</v>
      </c>
      <c r="G14" s="26" t="s">
        <v>121</v>
      </c>
      <c r="H14" s="20" t="s">
        <v>182</v>
      </c>
      <c r="I14" s="20" t="s">
        <v>183</v>
      </c>
      <c r="J14" s="20" t="s">
        <v>184</v>
      </c>
      <c r="K14" s="20" t="s">
        <v>185</v>
      </c>
      <c r="L14" s="20" t="s">
        <v>105</v>
      </c>
      <c r="M14" s="20" t="s">
        <v>105</v>
      </c>
      <c r="N14" s="20" t="s">
        <v>179</v>
      </c>
      <c r="O14" s="20"/>
    </row>
    <row r="15" spans="1:15">
      <c r="A15" s="20">
        <v>13</v>
      </c>
      <c r="B15" s="21" t="s">
        <v>186</v>
      </c>
      <c r="C15" s="22" t="s">
        <v>72</v>
      </c>
      <c r="D15" s="22" t="s">
        <v>187</v>
      </c>
      <c r="E15" s="22" t="s">
        <v>105</v>
      </c>
      <c r="F15" s="23" t="s">
        <v>78</v>
      </c>
      <c r="G15" s="24" t="s">
        <v>106</v>
      </c>
      <c r="H15" s="20" t="s">
        <v>188</v>
      </c>
      <c r="I15" s="20" t="s">
        <v>189</v>
      </c>
      <c r="J15" s="20" t="s">
        <v>190</v>
      </c>
      <c r="K15" s="20" t="s">
        <v>191</v>
      </c>
      <c r="L15" s="20" t="s">
        <v>105</v>
      </c>
      <c r="M15" s="20" t="s">
        <v>105</v>
      </c>
      <c r="N15" s="20" t="s">
        <v>192</v>
      </c>
      <c r="O15" s="20"/>
    </row>
    <row r="16" spans="1:15">
      <c r="A16" s="20">
        <v>14</v>
      </c>
      <c r="B16" s="21" t="s">
        <v>193</v>
      </c>
      <c r="C16" s="25" t="s">
        <v>72</v>
      </c>
      <c r="D16" s="25" t="s">
        <v>194</v>
      </c>
      <c r="E16" s="25" t="s">
        <v>105</v>
      </c>
      <c r="F16" s="23" t="s">
        <v>78</v>
      </c>
      <c r="G16" s="26" t="s">
        <v>121</v>
      </c>
      <c r="H16" s="20" t="s">
        <v>195</v>
      </c>
      <c r="I16" s="20" t="s">
        <v>196</v>
      </c>
      <c r="J16" s="20" t="s">
        <v>197</v>
      </c>
      <c r="K16" s="20" t="s">
        <v>198</v>
      </c>
      <c r="L16" s="20" t="s">
        <v>105</v>
      </c>
      <c r="M16" s="20" t="s">
        <v>105</v>
      </c>
      <c r="N16" s="20" t="s">
        <v>192</v>
      </c>
      <c r="O16" s="20"/>
    </row>
    <row r="17" spans="1:15">
      <c r="A17" s="20">
        <v>15</v>
      </c>
      <c r="B17" s="21" t="s">
        <v>199</v>
      </c>
      <c r="C17" s="22" t="s">
        <v>72</v>
      </c>
      <c r="D17" s="22" t="s">
        <v>200</v>
      </c>
      <c r="E17" s="22" t="s">
        <v>105</v>
      </c>
      <c r="F17" s="23" t="s">
        <v>78</v>
      </c>
      <c r="G17" s="24" t="s">
        <v>201</v>
      </c>
      <c r="H17" s="20" t="s">
        <v>202</v>
      </c>
      <c r="I17" s="20" t="s">
        <v>203</v>
      </c>
      <c r="J17" s="20" t="s">
        <v>204</v>
      </c>
      <c r="K17" s="20" t="s">
        <v>205</v>
      </c>
      <c r="L17" s="20" t="s">
        <v>105</v>
      </c>
      <c r="M17" s="20" t="s">
        <v>105</v>
      </c>
      <c r="N17" s="20" t="s">
        <v>206</v>
      </c>
      <c r="O17" s="20"/>
    </row>
    <row r="18" spans="1:15">
      <c r="A18" s="20">
        <v>16</v>
      </c>
      <c r="B18" s="21" t="s">
        <v>207</v>
      </c>
      <c r="C18" s="25" t="s">
        <v>72</v>
      </c>
      <c r="D18" s="25" t="s">
        <v>208</v>
      </c>
      <c r="E18" s="25" t="s">
        <v>105</v>
      </c>
      <c r="F18" s="23" t="s">
        <v>78</v>
      </c>
      <c r="G18" s="26" t="s">
        <v>121</v>
      </c>
      <c r="H18" s="20" t="s">
        <v>209</v>
      </c>
      <c r="I18" s="20" t="s">
        <v>210</v>
      </c>
      <c r="J18" s="20" t="s">
        <v>211</v>
      </c>
      <c r="K18" s="20" t="s">
        <v>212</v>
      </c>
      <c r="L18" s="20" t="s">
        <v>105</v>
      </c>
      <c r="M18" s="20" t="s">
        <v>105</v>
      </c>
      <c r="N18" s="20" t="s">
        <v>206</v>
      </c>
      <c r="O18" s="20"/>
    </row>
    <row r="19" spans="1:15">
      <c r="A19" s="20">
        <v>17</v>
      </c>
      <c r="B19" s="21" t="s">
        <v>213</v>
      </c>
      <c r="C19" s="22" t="s">
        <v>72</v>
      </c>
      <c r="D19" s="22" t="s">
        <v>214</v>
      </c>
      <c r="E19" s="22" t="s">
        <v>105</v>
      </c>
      <c r="F19" s="23" t="s">
        <v>78</v>
      </c>
      <c r="G19" s="24" t="s">
        <v>215</v>
      </c>
      <c r="H19" s="20" t="s">
        <v>216</v>
      </c>
      <c r="I19" s="20" t="s">
        <v>217</v>
      </c>
      <c r="J19" s="20" t="s">
        <v>218</v>
      </c>
      <c r="K19" s="20" t="s">
        <v>219</v>
      </c>
      <c r="L19" s="20" t="s">
        <v>105</v>
      </c>
      <c r="M19" s="20" t="s">
        <v>105</v>
      </c>
      <c r="N19" s="20" t="s">
        <v>220</v>
      </c>
      <c r="O19" s="20"/>
    </row>
    <row r="20" spans="1:15">
      <c r="A20" s="20">
        <v>18</v>
      </c>
      <c r="B20" s="21" t="s">
        <v>221</v>
      </c>
      <c r="C20" s="25" t="s">
        <v>72</v>
      </c>
      <c r="D20" s="25" t="s">
        <v>222</v>
      </c>
      <c r="E20" s="25" t="s">
        <v>105</v>
      </c>
      <c r="F20" s="23" t="s">
        <v>78</v>
      </c>
      <c r="G20" s="26" t="s">
        <v>128</v>
      </c>
      <c r="H20" s="20" t="s">
        <v>223</v>
      </c>
      <c r="I20" s="20" t="s">
        <v>224</v>
      </c>
      <c r="J20" s="20" t="s">
        <v>225</v>
      </c>
      <c r="K20" s="20" t="s">
        <v>226</v>
      </c>
      <c r="L20" s="20" t="s">
        <v>105</v>
      </c>
      <c r="M20" s="20" t="s">
        <v>105</v>
      </c>
      <c r="N20" s="20" t="s">
        <v>227</v>
      </c>
      <c r="O20" s="20"/>
    </row>
    <row r="21" spans="1:15">
      <c r="A21" s="20">
        <v>19</v>
      </c>
      <c r="B21" s="21" t="s">
        <v>228</v>
      </c>
      <c r="C21" s="21" t="s">
        <v>74</v>
      </c>
      <c r="D21" s="21" t="s">
        <v>229</v>
      </c>
      <c r="E21" s="21"/>
      <c r="F21" s="23" t="s">
        <v>78</v>
      </c>
      <c r="G21" s="20" t="s">
        <v>230</v>
      </c>
      <c r="H21" s="20" t="s">
        <v>231</v>
      </c>
      <c r="I21" s="20" t="s">
        <v>232</v>
      </c>
      <c r="J21" s="20" t="s">
        <v>233</v>
      </c>
      <c r="K21" s="20" t="s">
        <v>234</v>
      </c>
      <c r="L21" s="20" t="s">
        <v>105</v>
      </c>
      <c r="M21" s="20" t="s">
        <v>105</v>
      </c>
      <c r="N21" s="20" t="s">
        <v>235</v>
      </c>
      <c r="O21" s="20"/>
    </row>
    <row r="22" spans="1:15">
      <c r="A22" s="20">
        <v>20</v>
      </c>
      <c r="B22" s="20" t="s">
        <v>236</v>
      </c>
      <c r="C22" s="20" t="s">
        <v>74</v>
      </c>
      <c r="D22" s="20" t="s">
        <v>237</v>
      </c>
      <c r="E22" s="20"/>
      <c r="F22" s="27" t="s">
        <v>78</v>
      </c>
      <c r="G22" s="20" t="s">
        <v>128</v>
      </c>
      <c r="H22" s="20" t="s">
        <v>238</v>
      </c>
      <c r="I22" s="20" t="s">
        <v>239</v>
      </c>
      <c r="J22" s="20" t="s">
        <v>240</v>
      </c>
      <c r="K22" s="20" t="s">
        <v>241</v>
      </c>
      <c r="L22" s="20" t="s">
        <v>105</v>
      </c>
      <c r="M22" s="20" t="s">
        <v>105</v>
      </c>
      <c r="N22" s="20" t="s">
        <v>242</v>
      </c>
      <c r="O22" s="20"/>
    </row>
    <row r="23" spans="1:15">
      <c r="A23" s="20">
        <v>21</v>
      </c>
      <c r="B23" s="20" t="s">
        <v>243</v>
      </c>
      <c r="C23" s="20" t="s">
        <v>74</v>
      </c>
      <c r="D23" s="20" t="s">
        <v>244</v>
      </c>
      <c r="E23" s="20"/>
      <c r="F23" s="27" t="s">
        <v>78</v>
      </c>
      <c r="G23" s="20" t="s">
        <v>128</v>
      </c>
      <c r="H23" s="20" t="s">
        <v>245</v>
      </c>
      <c r="I23" s="20" t="s">
        <v>246</v>
      </c>
      <c r="J23" s="20" t="s">
        <v>247</v>
      </c>
      <c r="K23" s="20" t="s">
        <v>248</v>
      </c>
      <c r="L23" s="20" t="s">
        <v>105</v>
      </c>
      <c r="M23" s="20" t="s">
        <v>105</v>
      </c>
      <c r="N23" s="20" t="s">
        <v>242</v>
      </c>
      <c r="O23" s="20"/>
    </row>
    <row r="24" spans="1:15">
      <c r="A24" s="20">
        <v>22</v>
      </c>
      <c r="B24" s="20" t="s">
        <v>249</v>
      </c>
      <c r="C24" s="20" t="s">
        <v>74</v>
      </c>
      <c r="D24" s="20" t="s">
        <v>250</v>
      </c>
      <c r="E24" s="20"/>
      <c r="F24" s="27" t="s">
        <v>78</v>
      </c>
      <c r="G24" s="20" t="s">
        <v>251</v>
      </c>
      <c r="H24" s="20" t="s">
        <v>252</v>
      </c>
      <c r="I24" s="20" t="s">
        <v>253</v>
      </c>
      <c r="J24" s="20" t="s">
        <v>254</v>
      </c>
      <c r="K24" s="20" t="s">
        <v>255</v>
      </c>
      <c r="L24" s="20" t="s">
        <v>105</v>
      </c>
      <c r="M24" s="28"/>
      <c r="N24" s="20" t="s">
        <v>256</v>
      </c>
      <c r="O24" s="20" t="s">
        <v>257</v>
      </c>
    </row>
    <row r="25" spans="1:15">
      <c r="A25" s="20">
        <v>23</v>
      </c>
      <c r="B25" s="20" t="s">
        <v>258</v>
      </c>
      <c r="C25" s="20" t="s">
        <v>74</v>
      </c>
      <c r="D25" s="20" t="s">
        <v>259</v>
      </c>
      <c r="E25" s="20"/>
      <c r="F25" s="27" t="s">
        <v>78</v>
      </c>
      <c r="G25" s="20" t="s">
        <v>251</v>
      </c>
      <c r="H25" s="20" t="s">
        <v>260</v>
      </c>
      <c r="I25" s="20" t="s">
        <v>261</v>
      </c>
      <c r="J25" s="20" t="s">
        <v>262</v>
      </c>
      <c r="K25" s="20" t="s">
        <v>263</v>
      </c>
      <c r="L25" s="20" t="s">
        <v>105</v>
      </c>
      <c r="M25" s="28"/>
      <c r="N25" s="20" t="s">
        <v>264</v>
      </c>
      <c r="O25" s="20" t="s">
        <v>257</v>
      </c>
    </row>
    <row r="26" spans="1:15">
      <c r="A26" s="20">
        <v>24</v>
      </c>
      <c r="B26" s="20" t="s">
        <v>265</v>
      </c>
      <c r="C26" s="20" t="s">
        <v>74</v>
      </c>
      <c r="D26" s="20" t="s">
        <v>266</v>
      </c>
      <c r="E26" s="20"/>
      <c r="F26" s="27" t="s">
        <v>78</v>
      </c>
      <c r="G26" s="20" t="s">
        <v>201</v>
      </c>
      <c r="H26" s="20" t="s">
        <v>267</v>
      </c>
      <c r="I26" s="20" t="s">
        <v>268</v>
      </c>
      <c r="J26" s="20" t="s">
        <v>269</v>
      </c>
      <c r="K26" s="20" t="s">
        <v>270</v>
      </c>
      <c r="L26" s="20" t="s">
        <v>105</v>
      </c>
      <c r="M26" s="20" t="s">
        <v>105</v>
      </c>
      <c r="N26" s="20" t="s">
        <v>271</v>
      </c>
      <c r="O26" s="20"/>
    </row>
    <row r="27" spans="1:15">
      <c r="A27" s="20">
        <v>25</v>
      </c>
      <c r="B27" s="20" t="s">
        <v>272</v>
      </c>
      <c r="C27" s="20" t="s">
        <v>74</v>
      </c>
      <c r="D27" s="20" t="s">
        <v>273</v>
      </c>
      <c r="E27" s="20"/>
      <c r="F27" s="27" t="s">
        <v>78</v>
      </c>
      <c r="G27" s="20" t="s">
        <v>201</v>
      </c>
      <c r="H27" s="20" t="s">
        <v>274</v>
      </c>
      <c r="I27" s="20" t="s">
        <v>275</v>
      </c>
      <c r="J27" s="20" t="s">
        <v>276</v>
      </c>
      <c r="K27" s="20" t="s">
        <v>277</v>
      </c>
      <c r="L27" s="20" t="s">
        <v>105</v>
      </c>
      <c r="M27" s="20" t="s">
        <v>105</v>
      </c>
      <c r="N27" s="20" t="s">
        <v>278</v>
      </c>
      <c r="O27" s="20"/>
    </row>
    <row r="28" spans="1:15">
      <c r="A28" s="20">
        <v>26</v>
      </c>
      <c r="B28" s="20" t="s">
        <v>279</v>
      </c>
      <c r="C28" s="20" t="s">
        <v>74</v>
      </c>
      <c r="D28" s="20" t="s">
        <v>280</v>
      </c>
      <c r="E28" s="20"/>
      <c r="F28" s="27" t="s">
        <v>78</v>
      </c>
      <c r="G28" s="20" t="s">
        <v>201</v>
      </c>
      <c r="H28" s="20" t="s">
        <v>281</v>
      </c>
      <c r="I28" s="20" t="s">
        <v>282</v>
      </c>
      <c r="J28" s="20" t="s">
        <v>283</v>
      </c>
      <c r="K28" s="20" t="s">
        <v>284</v>
      </c>
      <c r="L28" s="20" t="s">
        <v>105</v>
      </c>
      <c r="M28" s="20" t="s">
        <v>105</v>
      </c>
      <c r="N28" s="20" t="s">
        <v>285</v>
      </c>
      <c r="O28" s="20"/>
    </row>
    <row r="29" spans="1:15">
      <c r="A29" s="20">
        <v>27</v>
      </c>
      <c r="B29" s="20" t="s">
        <v>286</v>
      </c>
      <c r="C29" s="20" t="s">
        <v>74</v>
      </c>
      <c r="D29" s="20" t="s">
        <v>287</v>
      </c>
      <c r="E29" s="20"/>
      <c r="F29" s="27" t="s">
        <v>78</v>
      </c>
      <c r="G29" s="20" t="s">
        <v>128</v>
      </c>
      <c r="H29" s="20" t="s">
        <v>288</v>
      </c>
      <c r="I29" s="20" t="s">
        <v>289</v>
      </c>
      <c r="J29" s="20" t="s">
        <v>290</v>
      </c>
      <c r="K29" s="20" t="s">
        <v>291</v>
      </c>
      <c r="L29" s="20" t="s">
        <v>105</v>
      </c>
      <c r="M29" s="20" t="s">
        <v>105</v>
      </c>
      <c r="N29" s="20" t="s">
        <v>292</v>
      </c>
      <c r="O29" s="20"/>
    </row>
    <row r="30" spans="1:15">
      <c r="A30" s="20">
        <v>28</v>
      </c>
      <c r="B30" s="20" t="s">
        <v>293</v>
      </c>
      <c r="C30" s="20" t="s">
        <v>74</v>
      </c>
      <c r="D30" s="20" t="s">
        <v>294</v>
      </c>
      <c r="E30" s="20"/>
      <c r="F30" s="27" t="s">
        <v>78</v>
      </c>
      <c r="G30" s="20" t="s">
        <v>295</v>
      </c>
      <c r="H30" s="20" t="s">
        <v>296</v>
      </c>
      <c r="I30" s="20" t="s">
        <v>297</v>
      </c>
      <c r="J30" s="20" t="s">
        <v>298</v>
      </c>
      <c r="K30" s="20" t="s">
        <v>299</v>
      </c>
      <c r="L30" s="20" t="s">
        <v>105</v>
      </c>
      <c r="M30" s="20" t="s">
        <v>105</v>
      </c>
      <c r="N30" s="20" t="s">
        <v>300</v>
      </c>
      <c r="O30" s="20"/>
    </row>
    <row r="31" spans="1:15">
      <c r="A31" s="20">
        <v>29</v>
      </c>
      <c r="B31" s="20" t="s">
        <v>301</v>
      </c>
      <c r="C31" s="20" t="s">
        <v>74</v>
      </c>
      <c r="D31" s="20" t="s">
        <v>302</v>
      </c>
      <c r="E31" s="20"/>
      <c r="F31" s="27" t="s">
        <v>78</v>
      </c>
      <c r="G31" s="20" t="s">
        <v>295</v>
      </c>
      <c r="H31" s="20" t="s">
        <v>303</v>
      </c>
      <c r="I31" s="20" t="s">
        <v>304</v>
      </c>
      <c r="J31" s="20" t="s">
        <v>305</v>
      </c>
      <c r="K31" s="20" t="s">
        <v>306</v>
      </c>
      <c r="L31" s="20" t="s">
        <v>105</v>
      </c>
      <c r="M31" s="20" t="s">
        <v>105</v>
      </c>
      <c r="N31" s="20" t="s">
        <v>307</v>
      </c>
      <c r="O31" s="20"/>
    </row>
    <row r="32" spans="1:15">
      <c r="A32" s="20">
        <v>30</v>
      </c>
      <c r="B32" s="20" t="s">
        <v>308</v>
      </c>
      <c r="C32" s="20" t="s">
        <v>74</v>
      </c>
      <c r="D32" s="20" t="s">
        <v>309</v>
      </c>
      <c r="E32" s="20"/>
      <c r="F32" s="27" t="s">
        <v>78</v>
      </c>
      <c r="G32" s="20" t="s">
        <v>295</v>
      </c>
      <c r="H32" s="20" t="s">
        <v>310</v>
      </c>
      <c r="I32" s="20" t="s">
        <v>311</v>
      </c>
      <c r="J32" s="20" t="s">
        <v>312</v>
      </c>
      <c r="K32" s="20" t="s">
        <v>313</v>
      </c>
      <c r="L32" s="20" t="s">
        <v>105</v>
      </c>
      <c r="M32" s="20" t="s">
        <v>105</v>
      </c>
      <c r="N32" s="20" t="s">
        <v>235</v>
      </c>
      <c r="O32" s="20"/>
    </row>
    <row r="33" spans="1:15">
      <c r="A33" s="20">
        <v>31</v>
      </c>
      <c r="B33" s="20" t="s">
        <v>314</v>
      </c>
      <c r="C33" s="20" t="s">
        <v>74</v>
      </c>
      <c r="D33" s="20" t="s">
        <v>315</v>
      </c>
      <c r="E33" s="20"/>
      <c r="F33" s="27" t="s">
        <v>78</v>
      </c>
      <c r="G33" s="20" t="s">
        <v>128</v>
      </c>
      <c r="H33" s="20" t="s">
        <v>316</v>
      </c>
      <c r="I33" s="20" t="s">
        <v>317</v>
      </c>
      <c r="J33" s="20" t="s">
        <v>318</v>
      </c>
      <c r="K33" s="20" t="s">
        <v>319</v>
      </c>
      <c r="L33" s="20" t="s">
        <v>105</v>
      </c>
      <c r="M33" s="20" t="s">
        <v>105</v>
      </c>
      <c r="N33" s="20" t="s">
        <v>242</v>
      </c>
      <c r="O33" s="20"/>
    </row>
    <row r="34" spans="1:15">
      <c r="A34" s="20">
        <v>32</v>
      </c>
      <c r="B34" s="20" t="s">
        <v>320</v>
      </c>
      <c r="C34" s="20" t="s">
        <v>74</v>
      </c>
      <c r="D34" s="20" t="s">
        <v>321</v>
      </c>
      <c r="E34" s="20"/>
      <c r="F34" s="27" t="s">
        <v>78</v>
      </c>
      <c r="G34" s="20" t="s">
        <v>322</v>
      </c>
      <c r="H34" s="20" t="s">
        <v>323</v>
      </c>
      <c r="I34" s="20" t="s">
        <v>324</v>
      </c>
      <c r="J34" s="20" t="s">
        <v>325</v>
      </c>
      <c r="K34" s="20" t="s">
        <v>326</v>
      </c>
      <c r="L34" s="20" t="s">
        <v>105</v>
      </c>
      <c r="M34" s="28"/>
      <c r="N34" s="20" t="s">
        <v>327</v>
      </c>
      <c r="O34" s="20" t="s">
        <v>257</v>
      </c>
    </row>
    <row r="35" spans="1:15">
      <c r="A35" s="20">
        <v>33</v>
      </c>
      <c r="B35" s="20" t="s">
        <v>328</v>
      </c>
      <c r="C35" s="20" t="s">
        <v>74</v>
      </c>
      <c r="D35" s="20" t="s">
        <v>329</v>
      </c>
      <c r="E35" s="20"/>
      <c r="F35" s="27" t="s">
        <v>78</v>
      </c>
      <c r="G35" s="20" t="s">
        <v>230</v>
      </c>
      <c r="H35" s="20" t="s">
        <v>330</v>
      </c>
      <c r="I35" s="20" t="s">
        <v>331</v>
      </c>
      <c r="J35" s="20" t="s">
        <v>332</v>
      </c>
      <c r="K35" s="20" t="s">
        <v>333</v>
      </c>
      <c r="L35" s="20" t="s">
        <v>105</v>
      </c>
      <c r="M35" s="20" t="s">
        <v>105</v>
      </c>
      <c r="N35" s="20" t="s">
        <v>235</v>
      </c>
      <c r="O35" s="20"/>
    </row>
    <row r="36" spans="1:15">
      <c r="A36" s="20">
        <v>34</v>
      </c>
      <c r="B36" s="20" t="s">
        <v>334</v>
      </c>
      <c r="C36" s="20" t="s">
        <v>74</v>
      </c>
      <c r="D36" s="20" t="s">
        <v>335</v>
      </c>
      <c r="E36" s="20"/>
      <c r="F36" s="27" t="s">
        <v>78</v>
      </c>
      <c r="G36" s="20" t="s">
        <v>322</v>
      </c>
      <c r="H36" s="20" t="s">
        <v>336</v>
      </c>
      <c r="I36" s="20" t="s">
        <v>337</v>
      </c>
      <c r="J36" s="20" t="s">
        <v>338</v>
      </c>
      <c r="K36" s="20" t="s">
        <v>339</v>
      </c>
      <c r="L36" s="20" t="s">
        <v>105</v>
      </c>
      <c r="M36" s="20" t="s">
        <v>105</v>
      </c>
      <c r="N36" s="20" t="s">
        <v>340</v>
      </c>
      <c r="O36" s="20"/>
    </row>
    <row r="37" spans="1:15">
      <c r="A37" s="20">
        <v>35</v>
      </c>
      <c r="B37" s="20" t="s">
        <v>341</v>
      </c>
      <c r="C37" s="20" t="s">
        <v>76</v>
      </c>
      <c r="D37" s="20" t="s">
        <v>342</v>
      </c>
      <c r="E37" s="20"/>
      <c r="F37" s="27" t="s">
        <v>78</v>
      </c>
      <c r="G37" s="20" t="s">
        <v>343</v>
      </c>
      <c r="H37" s="20" t="s">
        <v>344</v>
      </c>
      <c r="I37" s="20" t="s">
        <v>345</v>
      </c>
      <c r="J37" s="20" t="s">
        <v>346</v>
      </c>
      <c r="K37" s="20" t="s">
        <v>347</v>
      </c>
      <c r="L37" s="20" t="s">
        <v>105</v>
      </c>
      <c r="M37" s="28"/>
      <c r="N37" s="20" t="s">
        <v>348</v>
      </c>
      <c r="O37" s="20"/>
    </row>
    <row r="38" spans="1:15">
      <c r="A38" s="20">
        <v>36</v>
      </c>
      <c r="B38" s="20" t="s">
        <v>349</v>
      </c>
      <c r="C38" s="20" t="s">
        <v>76</v>
      </c>
      <c r="D38" s="20" t="s">
        <v>342</v>
      </c>
      <c r="E38" s="20"/>
      <c r="F38" s="27" t="s">
        <v>78</v>
      </c>
      <c r="G38" s="20" t="s">
        <v>128</v>
      </c>
      <c r="H38" s="20" t="s">
        <v>350</v>
      </c>
      <c r="I38" s="20" t="s">
        <v>351</v>
      </c>
      <c r="J38" s="20" t="s">
        <v>352</v>
      </c>
      <c r="K38" s="20" t="s">
        <v>353</v>
      </c>
      <c r="L38" s="20" t="s">
        <v>105</v>
      </c>
      <c r="M38" s="20" t="s">
        <v>105</v>
      </c>
      <c r="N38" s="20" t="s">
        <v>354</v>
      </c>
      <c r="O38" s="20"/>
    </row>
    <row r="39" spans="1:15">
      <c r="A39" s="20">
        <v>37</v>
      </c>
      <c r="B39" s="20" t="s">
        <v>355</v>
      </c>
      <c r="C39" s="20" t="s">
        <v>76</v>
      </c>
      <c r="D39" s="20" t="s">
        <v>356</v>
      </c>
      <c r="E39" s="20"/>
      <c r="F39" s="27" t="s">
        <v>78</v>
      </c>
      <c r="G39" s="20" t="s">
        <v>343</v>
      </c>
      <c r="H39" s="20" t="s">
        <v>357</v>
      </c>
      <c r="I39" s="20" t="s">
        <v>358</v>
      </c>
      <c r="J39" s="20" t="s">
        <v>359</v>
      </c>
      <c r="K39" s="20" t="s">
        <v>360</v>
      </c>
      <c r="L39" s="20" t="s">
        <v>105</v>
      </c>
      <c r="M39" s="20" t="s">
        <v>105</v>
      </c>
      <c r="N39" s="20" t="s">
        <v>361</v>
      </c>
      <c r="O39" s="20"/>
    </row>
    <row r="40" spans="1:15">
      <c r="A40" s="20">
        <v>38</v>
      </c>
      <c r="B40" s="20" t="s">
        <v>362</v>
      </c>
      <c r="C40" s="20" t="s">
        <v>76</v>
      </c>
      <c r="D40" s="20" t="s">
        <v>363</v>
      </c>
      <c r="E40" s="20"/>
      <c r="F40" s="27" t="s">
        <v>78</v>
      </c>
      <c r="G40" s="20" t="s">
        <v>343</v>
      </c>
      <c r="H40" s="20" t="s">
        <v>364</v>
      </c>
      <c r="I40" s="20" t="s">
        <v>365</v>
      </c>
      <c r="J40" s="20" t="s">
        <v>366</v>
      </c>
      <c r="K40" s="20" t="s">
        <v>367</v>
      </c>
      <c r="L40" s="20" t="s">
        <v>105</v>
      </c>
      <c r="M40" s="20" t="s">
        <v>105</v>
      </c>
      <c r="N40" s="20" t="s">
        <v>368</v>
      </c>
      <c r="O40" s="20"/>
    </row>
    <row r="41" spans="1:15">
      <c r="A41" s="20">
        <v>39</v>
      </c>
      <c r="B41" s="20" t="s">
        <v>369</v>
      </c>
      <c r="C41" s="20" t="s">
        <v>76</v>
      </c>
      <c r="D41" s="20" t="s">
        <v>370</v>
      </c>
      <c r="E41" s="20"/>
      <c r="F41" s="27" t="s">
        <v>78</v>
      </c>
      <c r="G41" s="20" t="s">
        <v>343</v>
      </c>
      <c r="H41" s="20" t="s">
        <v>371</v>
      </c>
      <c r="I41" s="20" t="s">
        <v>372</v>
      </c>
      <c r="J41" s="20" t="s">
        <v>373</v>
      </c>
      <c r="K41" s="20" t="s">
        <v>374</v>
      </c>
      <c r="L41" s="20" t="s">
        <v>105</v>
      </c>
      <c r="M41" s="20" t="s">
        <v>105</v>
      </c>
      <c r="N41" s="20" t="s">
        <v>375</v>
      </c>
      <c r="O41" s="20"/>
    </row>
    <row r="42" spans="1:15">
      <c r="A42" s="20">
        <v>40</v>
      </c>
      <c r="B42" s="20" t="s">
        <v>376</v>
      </c>
      <c r="C42" s="20" t="s">
        <v>76</v>
      </c>
      <c r="D42" s="20" t="s">
        <v>377</v>
      </c>
      <c r="E42" s="20"/>
      <c r="F42" s="27" t="s">
        <v>78</v>
      </c>
      <c r="G42" s="20" t="s">
        <v>343</v>
      </c>
      <c r="H42" s="20" t="s">
        <v>378</v>
      </c>
      <c r="I42" s="20" t="s">
        <v>379</v>
      </c>
      <c r="J42" s="20" t="s">
        <v>380</v>
      </c>
      <c r="K42" s="20" t="s">
        <v>381</v>
      </c>
      <c r="L42" s="20" t="s">
        <v>105</v>
      </c>
      <c r="M42" s="20" t="s">
        <v>105</v>
      </c>
      <c r="N42" s="20" t="s">
        <v>382</v>
      </c>
      <c r="O42" s="20"/>
    </row>
    <row r="43" spans="1:15">
      <c r="A43" s="20">
        <v>41</v>
      </c>
      <c r="B43" s="20" t="s">
        <v>383</v>
      </c>
      <c r="C43" s="20" t="s">
        <v>76</v>
      </c>
      <c r="D43" s="20" t="s">
        <v>384</v>
      </c>
      <c r="E43" s="20"/>
      <c r="F43" s="27" t="s">
        <v>78</v>
      </c>
      <c r="G43" s="20" t="s">
        <v>343</v>
      </c>
      <c r="H43" s="20" t="s">
        <v>385</v>
      </c>
      <c r="I43" s="20" t="s">
        <v>386</v>
      </c>
      <c r="J43" s="20" t="s">
        <v>387</v>
      </c>
      <c r="K43" s="20" t="s">
        <v>388</v>
      </c>
      <c r="L43" s="20" t="s">
        <v>105</v>
      </c>
      <c r="M43" s="20" t="s">
        <v>105</v>
      </c>
      <c r="N43" s="20" t="s">
        <v>389</v>
      </c>
      <c r="O43" s="20"/>
    </row>
    <row r="44" spans="1:15">
      <c r="A44" s="20">
        <v>42</v>
      </c>
      <c r="B44" s="20" t="s">
        <v>390</v>
      </c>
      <c r="C44" s="20" t="s">
        <v>76</v>
      </c>
      <c r="D44" s="20" t="s">
        <v>391</v>
      </c>
      <c r="E44" s="20"/>
      <c r="F44" s="27" t="s">
        <v>78</v>
      </c>
      <c r="G44" s="20" t="s">
        <v>343</v>
      </c>
      <c r="H44" s="20" t="s">
        <v>392</v>
      </c>
      <c r="I44" s="20" t="s">
        <v>393</v>
      </c>
      <c r="J44" s="20" t="s">
        <v>394</v>
      </c>
      <c r="K44" s="20" t="s">
        <v>395</v>
      </c>
      <c r="L44" s="20" t="s">
        <v>105</v>
      </c>
      <c r="M44" s="20" t="s">
        <v>105</v>
      </c>
      <c r="N44" s="20" t="s">
        <v>396</v>
      </c>
      <c r="O44" s="20"/>
    </row>
    <row r="45" spans="1:15">
      <c r="A45" s="20">
        <v>43</v>
      </c>
      <c r="B45" s="20" t="s">
        <v>397</v>
      </c>
      <c r="C45" s="20" t="s">
        <v>76</v>
      </c>
      <c r="D45" s="20" t="s">
        <v>398</v>
      </c>
      <c r="E45" s="20"/>
      <c r="F45" s="27" t="s">
        <v>78</v>
      </c>
      <c r="G45" s="20" t="s">
        <v>343</v>
      </c>
      <c r="H45" s="20" t="s">
        <v>399</v>
      </c>
      <c r="I45" s="20" t="s">
        <v>400</v>
      </c>
      <c r="J45" s="20" t="s">
        <v>401</v>
      </c>
      <c r="K45" s="20" t="s">
        <v>402</v>
      </c>
      <c r="L45" s="20" t="s">
        <v>105</v>
      </c>
      <c r="M45" s="20" t="s">
        <v>105</v>
      </c>
      <c r="N45" s="20" t="s">
        <v>403</v>
      </c>
      <c r="O45" s="20"/>
    </row>
    <row r="46" spans="1:15">
      <c r="A46" s="20">
        <v>44</v>
      </c>
      <c r="B46" s="20" t="s">
        <v>404</v>
      </c>
      <c r="C46" s="20" t="s">
        <v>76</v>
      </c>
      <c r="D46" s="20" t="s">
        <v>405</v>
      </c>
      <c r="E46" s="20"/>
      <c r="F46" s="27" t="s">
        <v>78</v>
      </c>
      <c r="G46" s="20" t="s">
        <v>343</v>
      </c>
      <c r="H46" s="20" t="s">
        <v>406</v>
      </c>
      <c r="I46" s="20" t="s">
        <v>407</v>
      </c>
      <c r="J46" s="20" t="s">
        <v>408</v>
      </c>
      <c r="K46" s="20" t="s">
        <v>409</v>
      </c>
      <c r="L46" s="20" t="s">
        <v>105</v>
      </c>
      <c r="M46" s="20" t="s">
        <v>105</v>
      </c>
      <c r="N46" s="20" t="s">
        <v>410</v>
      </c>
      <c r="O46" s="20"/>
    </row>
    <row r="47" spans="1:15">
      <c r="A47" s="20">
        <v>45</v>
      </c>
      <c r="B47" s="20" t="s">
        <v>411</v>
      </c>
      <c r="C47" s="20" t="s">
        <v>76</v>
      </c>
      <c r="D47" s="20" t="s">
        <v>412</v>
      </c>
      <c r="E47" s="20"/>
      <c r="F47" s="27" t="s">
        <v>78</v>
      </c>
      <c r="G47" s="20" t="s">
        <v>343</v>
      </c>
      <c r="H47" s="20" t="s">
        <v>413</v>
      </c>
      <c r="I47" s="20" t="s">
        <v>414</v>
      </c>
      <c r="J47" s="20" t="s">
        <v>415</v>
      </c>
      <c r="K47" s="20" t="s">
        <v>416</v>
      </c>
      <c r="L47" s="20" t="s">
        <v>105</v>
      </c>
      <c r="M47" s="20" t="s">
        <v>105</v>
      </c>
      <c r="N47" s="20" t="s">
        <v>417</v>
      </c>
      <c r="O47" s="20"/>
    </row>
    <row r="48" spans="1:15">
      <c r="A48" s="20">
        <v>46</v>
      </c>
      <c r="B48" s="20" t="s">
        <v>418</v>
      </c>
      <c r="C48" s="20" t="s">
        <v>76</v>
      </c>
      <c r="D48" s="20" t="s">
        <v>419</v>
      </c>
      <c r="E48" s="20"/>
      <c r="F48" s="27" t="s">
        <v>78</v>
      </c>
      <c r="G48" s="20" t="s">
        <v>343</v>
      </c>
      <c r="H48" s="20" t="s">
        <v>420</v>
      </c>
      <c r="I48" s="20" t="s">
        <v>421</v>
      </c>
      <c r="J48" s="20" t="s">
        <v>422</v>
      </c>
      <c r="K48" s="20" t="s">
        <v>423</v>
      </c>
      <c r="L48" s="20" t="s">
        <v>105</v>
      </c>
      <c r="M48" s="20" t="s">
        <v>105</v>
      </c>
      <c r="N48" s="20" t="s">
        <v>424</v>
      </c>
      <c r="O48" s="20"/>
    </row>
    <row r="49" spans="1:15">
      <c r="A49" s="20">
        <v>47</v>
      </c>
      <c r="B49" s="20" t="s">
        <v>425</v>
      </c>
      <c r="C49" s="20" t="s">
        <v>76</v>
      </c>
      <c r="D49" s="20" t="s">
        <v>426</v>
      </c>
      <c r="E49" s="20"/>
      <c r="F49" s="27" t="s">
        <v>78</v>
      </c>
      <c r="G49" s="20" t="s">
        <v>343</v>
      </c>
      <c r="H49" s="20" t="s">
        <v>427</v>
      </c>
      <c r="I49" s="20" t="s">
        <v>428</v>
      </c>
      <c r="J49" s="20" t="s">
        <v>429</v>
      </c>
      <c r="K49" s="20" t="s">
        <v>430</v>
      </c>
      <c r="L49" s="20" t="s">
        <v>105</v>
      </c>
      <c r="M49" s="20" t="s">
        <v>105</v>
      </c>
      <c r="N49" s="20" t="s">
        <v>431</v>
      </c>
      <c r="O49" s="20"/>
    </row>
    <row r="50" spans="1:15">
      <c r="A50" s="20">
        <v>48</v>
      </c>
      <c r="B50" s="20" t="s">
        <v>432</v>
      </c>
      <c r="C50" s="20" t="s">
        <v>76</v>
      </c>
      <c r="D50" s="20" t="s">
        <v>433</v>
      </c>
      <c r="E50" s="20"/>
      <c r="F50" s="27" t="s">
        <v>78</v>
      </c>
      <c r="G50" s="20" t="s">
        <v>121</v>
      </c>
      <c r="H50" s="20" t="s">
        <v>434</v>
      </c>
      <c r="I50" s="20" t="s">
        <v>435</v>
      </c>
      <c r="J50" s="20" t="s">
        <v>436</v>
      </c>
      <c r="K50" s="20" t="s">
        <v>437</v>
      </c>
      <c r="L50" s="20" t="s">
        <v>105</v>
      </c>
      <c r="M50" s="28"/>
      <c r="N50" s="20" t="s">
        <v>348</v>
      </c>
      <c r="O50" s="20"/>
    </row>
    <row r="51" spans="1:15">
      <c r="A51" s="20">
        <v>49</v>
      </c>
      <c r="B51" s="20" t="s">
        <v>438</v>
      </c>
      <c r="C51" s="20" t="s">
        <v>76</v>
      </c>
      <c r="D51" s="20" t="s">
        <v>433</v>
      </c>
      <c r="E51" s="20"/>
      <c r="F51" s="27" t="s">
        <v>78</v>
      </c>
      <c r="G51" s="20" t="s">
        <v>128</v>
      </c>
      <c r="H51" s="20" t="s">
        <v>439</v>
      </c>
      <c r="I51" s="20" t="s">
        <v>440</v>
      </c>
      <c r="J51" s="20" t="s">
        <v>441</v>
      </c>
      <c r="K51" s="20" t="s">
        <v>442</v>
      </c>
      <c r="L51" s="20" t="s">
        <v>105</v>
      </c>
      <c r="M51" s="20" t="s">
        <v>105</v>
      </c>
      <c r="N51" s="20" t="s">
        <v>443</v>
      </c>
      <c r="O51" s="20"/>
    </row>
    <row r="52" spans="1:15">
      <c r="A52" s="20">
        <v>50</v>
      </c>
      <c r="B52" s="20" t="s">
        <v>444</v>
      </c>
      <c r="C52" s="20" t="s">
        <v>76</v>
      </c>
      <c r="D52" s="20" t="s">
        <v>445</v>
      </c>
      <c r="E52" s="20"/>
      <c r="F52" s="27" t="s">
        <v>80</v>
      </c>
      <c r="G52" s="20" t="s">
        <v>446</v>
      </c>
      <c r="H52" s="20" t="s">
        <v>447</v>
      </c>
      <c r="I52" s="20" t="s">
        <v>448</v>
      </c>
      <c r="J52" s="20"/>
      <c r="K52" s="20" t="s">
        <v>449</v>
      </c>
      <c r="L52" s="20" t="s">
        <v>105</v>
      </c>
      <c r="M52" s="20" t="s">
        <v>105</v>
      </c>
      <c r="N52" s="20" t="s">
        <v>450</v>
      </c>
      <c r="O52" s="20" t="s">
        <v>451</v>
      </c>
    </row>
  </sheetData>
  <autoFilter ref="A2:O52"/>
  <mergeCells count="1">
    <mergeCell ref="A1:O1"/>
  </mergeCells>
  <phoneticPr fontId="1"/>
  <dataValidations count="5">
    <dataValidation type="list" allowBlank="1" showErrorMessage="1" errorTitle="リスト外の値です" error="この列はプルダウンの値から選択してください。空白も使用できます。" sqref="C3:C52">
      <formula1>"BGM,SE,VOICE"</formula1>
    </dataValidation>
    <dataValidation type="list" allowBlank="1" showErrorMessage="1" errorTitle="リスト外の値です" error="この列はプルダウンの値から選択してください。空白も使用できます。" sqref="E3:E52">
      <formula1>"〇"</formula1>
    </dataValidation>
    <dataValidation type="list" allowBlank="1" showErrorMessage="1" errorTitle="リスト外の値です" error="この列はプルダウンの値から選択してください。空白も使用できます。" sqref="F3:F52">
      <formula1>"OK,命名要修正,Unityのみ/命名要修正,未取込,Unityのみ"</formula1>
    </dataValidation>
    <dataValidation type="list" allowBlank="1" showErrorMessage="1" errorTitle="リスト外の値です" error="この列はプルダウンの値から選択してください。空白も使用できます。" sqref="L3:L52">
      <formula1>"〇"</formula1>
    </dataValidation>
    <dataValidation type="list" allowBlank="1" showErrorMessage="1" errorTitle="リスト外の値です" error="この列はプルダウンの値から選択してください。空白も使用できます。" sqref="M3:M52">
      <formula1>"〇"</formula1>
    </dataValidation>
  </dataValidations>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242"/>
  <sheetViews>
    <sheetView tabSelected="1" workbookViewId="0">
      <pane ySplit="2" topLeftCell="A3" activePane="bottomLeft" state="frozen"/>
      <selection pane="bottomLeft" activeCell="A31" sqref="A31"/>
    </sheetView>
  </sheetViews>
  <sheetFormatPr defaultColWidth="106.7109375" defaultRowHeight="14.25"/>
  <cols>
    <col min="1" max="1" width="8" style="17" bestFit="1" customWidth="1"/>
    <col min="2" max="2" width="44" style="17" bestFit="1" customWidth="1"/>
    <col min="3" max="3" width="22" style="17" bestFit="1" customWidth="1"/>
    <col min="4" max="4" width="66" style="17" bestFit="1" customWidth="1"/>
    <col min="5" max="5" width="22" style="17" bestFit="1" customWidth="1"/>
    <col min="6" max="6" width="13" style="17" bestFit="1" customWidth="1"/>
    <col min="7" max="7" width="48" style="17" bestFit="1" customWidth="1"/>
    <col min="8" max="8" width="46" style="17" bestFit="1" customWidth="1"/>
    <col min="9" max="9" width="92" style="17" bestFit="1" customWidth="1"/>
    <col min="10" max="10" width="128" style="17" bestFit="1" customWidth="1"/>
    <col min="11" max="11" width="13" style="17" bestFit="1" customWidth="1"/>
    <col min="12" max="12" width="13" style="17" customWidth="1"/>
    <col min="13" max="13" width="104" style="17" bestFit="1" customWidth="1"/>
    <col min="14" max="14" width="42" style="17" bestFit="1" customWidth="1"/>
    <col min="15" max="15" width="106.7109375" style="17" customWidth="1"/>
    <col min="16" max="16384" width="106.7109375" style="17"/>
  </cols>
  <sheetData>
    <row r="1" spans="1:14">
      <c r="A1" s="40"/>
      <c r="B1" s="40"/>
      <c r="C1" s="40"/>
      <c r="D1" s="40"/>
      <c r="E1" s="40"/>
      <c r="F1" s="40"/>
      <c r="G1" s="40"/>
      <c r="H1" s="40"/>
      <c r="I1" s="40"/>
      <c r="J1" s="40"/>
      <c r="K1" s="40"/>
      <c r="L1" s="40"/>
      <c r="M1" s="40"/>
      <c r="N1" s="40"/>
    </row>
    <row r="2" spans="1:14">
      <c r="A2" s="18" t="s">
        <v>88</v>
      </c>
      <c r="B2" s="18" t="s">
        <v>89</v>
      </c>
      <c r="C2" s="19" t="s">
        <v>90</v>
      </c>
      <c r="D2" s="19" t="s">
        <v>452</v>
      </c>
      <c r="E2" s="19" t="s">
        <v>93</v>
      </c>
      <c r="F2" s="18" t="s">
        <v>94</v>
      </c>
      <c r="G2" s="18" t="s">
        <v>95</v>
      </c>
      <c r="H2" s="18" t="s">
        <v>96</v>
      </c>
      <c r="I2" s="18" t="s">
        <v>97</v>
      </c>
      <c r="J2" s="18" t="s">
        <v>98</v>
      </c>
      <c r="K2" s="18" t="s">
        <v>99</v>
      </c>
      <c r="L2" s="18" t="s">
        <v>100</v>
      </c>
      <c r="M2" s="18" t="s">
        <v>101</v>
      </c>
      <c r="N2" s="18" t="s">
        <v>102</v>
      </c>
    </row>
    <row r="3" spans="1:14">
      <c r="A3" s="20">
        <v>1</v>
      </c>
      <c r="B3" s="21" t="s">
        <v>453</v>
      </c>
      <c r="C3" s="22" t="s">
        <v>73</v>
      </c>
      <c r="D3" s="22" t="s">
        <v>454</v>
      </c>
      <c r="E3" s="23" t="s">
        <v>78</v>
      </c>
      <c r="F3" s="24" t="s">
        <v>251</v>
      </c>
      <c r="G3" s="20" t="s">
        <v>455</v>
      </c>
      <c r="H3" s="20" t="s">
        <v>456</v>
      </c>
      <c r="I3" s="20" t="s">
        <v>457</v>
      </c>
      <c r="J3" s="20" t="s">
        <v>458</v>
      </c>
      <c r="K3" s="20" t="s">
        <v>105</v>
      </c>
      <c r="L3" s="20" t="s">
        <v>105</v>
      </c>
      <c r="M3" s="20" t="s">
        <v>459</v>
      </c>
      <c r="N3" s="20"/>
    </row>
    <row r="4" spans="1:14">
      <c r="A4" s="20">
        <v>2</v>
      </c>
      <c r="B4" s="21" t="s">
        <v>460</v>
      </c>
      <c r="C4" s="25" t="s">
        <v>73</v>
      </c>
      <c r="D4" s="25" t="s">
        <v>461</v>
      </c>
      <c r="E4" s="23" t="s">
        <v>78</v>
      </c>
      <c r="F4" s="26" t="s">
        <v>251</v>
      </c>
      <c r="G4" s="20" t="s">
        <v>462</v>
      </c>
      <c r="H4" s="20" t="s">
        <v>463</v>
      </c>
      <c r="I4" s="20" t="s">
        <v>464</v>
      </c>
      <c r="J4" s="20" t="s">
        <v>465</v>
      </c>
      <c r="K4" s="20" t="s">
        <v>105</v>
      </c>
      <c r="L4" s="20" t="s">
        <v>105</v>
      </c>
      <c r="M4" s="20" t="s">
        <v>459</v>
      </c>
      <c r="N4" s="20"/>
    </row>
    <row r="5" spans="1:14">
      <c r="A5" s="20">
        <v>3</v>
      </c>
      <c r="B5" s="21" t="s">
        <v>466</v>
      </c>
      <c r="C5" s="22" t="s">
        <v>73</v>
      </c>
      <c r="D5" s="22" t="s">
        <v>467</v>
      </c>
      <c r="E5" s="23" t="s">
        <v>78</v>
      </c>
      <c r="F5" s="24" t="s">
        <v>251</v>
      </c>
      <c r="G5" s="20" t="s">
        <v>468</v>
      </c>
      <c r="H5" s="20" t="s">
        <v>469</v>
      </c>
      <c r="I5" s="20" t="s">
        <v>470</v>
      </c>
      <c r="J5" s="20" t="s">
        <v>471</v>
      </c>
      <c r="K5" s="20" t="s">
        <v>105</v>
      </c>
      <c r="L5" s="20" t="s">
        <v>105</v>
      </c>
      <c r="M5" s="20" t="s">
        <v>459</v>
      </c>
      <c r="N5" s="20"/>
    </row>
    <row r="6" spans="1:14">
      <c r="A6" s="20">
        <v>4</v>
      </c>
      <c r="B6" s="21" t="s">
        <v>472</v>
      </c>
      <c r="C6" s="25" t="s">
        <v>73</v>
      </c>
      <c r="D6" s="25" t="s">
        <v>473</v>
      </c>
      <c r="E6" s="23" t="s">
        <v>78</v>
      </c>
      <c r="F6" s="26" t="s">
        <v>251</v>
      </c>
      <c r="G6" s="20" t="s">
        <v>474</v>
      </c>
      <c r="H6" s="20" t="s">
        <v>475</v>
      </c>
      <c r="I6" s="20" t="s">
        <v>476</v>
      </c>
      <c r="J6" s="20" t="s">
        <v>477</v>
      </c>
      <c r="K6" s="20" t="s">
        <v>105</v>
      </c>
      <c r="L6" s="20" t="s">
        <v>105</v>
      </c>
      <c r="M6" s="20" t="s">
        <v>459</v>
      </c>
      <c r="N6" s="20"/>
    </row>
    <row r="7" spans="1:14">
      <c r="A7" s="20">
        <v>5</v>
      </c>
      <c r="B7" s="21" t="s">
        <v>478</v>
      </c>
      <c r="C7" s="22" t="s">
        <v>69</v>
      </c>
      <c r="D7" s="22" t="s">
        <v>479</v>
      </c>
      <c r="E7" s="23" t="s">
        <v>78</v>
      </c>
      <c r="F7" s="24" t="s">
        <v>480</v>
      </c>
      <c r="G7" s="20" t="s">
        <v>481</v>
      </c>
      <c r="H7" s="20" t="s">
        <v>482</v>
      </c>
      <c r="I7" s="20" t="s">
        <v>483</v>
      </c>
      <c r="J7" s="20" t="s">
        <v>484</v>
      </c>
      <c r="K7" s="20" t="s">
        <v>105</v>
      </c>
      <c r="L7" s="20" t="s">
        <v>105</v>
      </c>
      <c r="M7" s="20" t="s">
        <v>485</v>
      </c>
      <c r="N7" s="20"/>
    </row>
    <row r="8" spans="1:14">
      <c r="A8" s="20">
        <v>6</v>
      </c>
      <c r="B8" s="21" t="s">
        <v>486</v>
      </c>
      <c r="C8" s="25" t="s">
        <v>69</v>
      </c>
      <c r="D8" s="25" t="s">
        <v>487</v>
      </c>
      <c r="E8" s="23" t="s">
        <v>78</v>
      </c>
      <c r="F8" s="26" t="s">
        <v>480</v>
      </c>
      <c r="G8" s="20" t="s">
        <v>488</v>
      </c>
      <c r="H8" s="20" t="s">
        <v>489</v>
      </c>
      <c r="I8" s="20" t="s">
        <v>490</v>
      </c>
      <c r="J8" s="20" t="s">
        <v>491</v>
      </c>
      <c r="K8" s="20" t="s">
        <v>105</v>
      </c>
      <c r="L8" s="20" t="s">
        <v>105</v>
      </c>
      <c r="M8" s="20" t="s">
        <v>485</v>
      </c>
      <c r="N8" s="20"/>
    </row>
    <row r="9" spans="1:14">
      <c r="A9" s="20">
        <v>7</v>
      </c>
      <c r="B9" s="21" t="s">
        <v>492</v>
      </c>
      <c r="C9" s="22" t="s">
        <v>69</v>
      </c>
      <c r="D9" s="22" t="s">
        <v>493</v>
      </c>
      <c r="E9" s="23" t="s">
        <v>78</v>
      </c>
      <c r="F9" s="24" t="s">
        <v>480</v>
      </c>
      <c r="G9" s="20" t="s">
        <v>494</v>
      </c>
      <c r="H9" s="20" t="s">
        <v>495</v>
      </c>
      <c r="I9" s="20" t="s">
        <v>496</v>
      </c>
      <c r="J9" s="20" t="s">
        <v>497</v>
      </c>
      <c r="K9" s="20" t="s">
        <v>105</v>
      </c>
      <c r="L9" s="20" t="s">
        <v>105</v>
      </c>
      <c r="M9" s="20" t="s">
        <v>485</v>
      </c>
      <c r="N9" s="20"/>
    </row>
    <row r="10" spans="1:14">
      <c r="A10" s="20">
        <v>8</v>
      </c>
      <c r="B10" s="21" t="s">
        <v>498</v>
      </c>
      <c r="C10" s="25" t="s">
        <v>69</v>
      </c>
      <c r="D10" s="25" t="s">
        <v>499</v>
      </c>
      <c r="E10" s="23" t="s">
        <v>78</v>
      </c>
      <c r="F10" s="26" t="s">
        <v>480</v>
      </c>
      <c r="G10" s="20" t="s">
        <v>500</v>
      </c>
      <c r="H10" s="20" t="s">
        <v>501</v>
      </c>
      <c r="I10" s="20" t="s">
        <v>502</v>
      </c>
      <c r="J10" s="20" t="s">
        <v>503</v>
      </c>
      <c r="K10" s="20" t="s">
        <v>105</v>
      </c>
      <c r="L10" s="20" t="s">
        <v>105</v>
      </c>
      <c r="M10" s="20" t="s">
        <v>485</v>
      </c>
      <c r="N10" s="20"/>
    </row>
    <row r="11" spans="1:14">
      <c r="A11" s="20">
        <v>9</v>
      </c>
      <c r="B11" s="21" t="s">
        <v>504</v>
      </c>
      <c r="C11" s="22" t="s">
        <v>69</v>
      </c>
      <c r="D11" s="22" t="s">
        <v>505</v>
      </c>
      <c r="E11" s="23" t="s">
        <v>78</v>
      </c>
      <c r="F11" s="24" t="s">
        <v>480</v>
      </c>
      <c r="G11" s="20" t="s">
        <v>506</v>
      </c>
      <c r="H11" s="20" t="s">
        <v>507</v>
      </c>
      <c r="I11" s="20" t="s">
        <v>508</v>
      </c>
      <c r="J11" s="20" t="s">
        <v>509</v>
      </c>
      <c r="K11" s="20" t="s">
        <v>105</v>
      </c>
      <c r="L11" s="20" t="s">
        <v>105</v>
      </c>
      <c r="M11" s="20" t="s">
        <v>485</v>
      </c>
      <c r="N11" s="20"/>
    </row>
    <row r="12" spans="1:14">
      <c r="A12" s="20">
        <v>10</v>
      </c>
      <c r="B12" s="21" t="s">
        <v>510</v>
      </c>
      <c r="C12" s="25" t="s">
        <v>69</v>
      </c>
      <c r="D12" s="25" t="s">
        <v>511</v>
      </c>
      <c r="E12" s="23" t="s">
        <v>78</v>
      </c>
      <c r="F12" s="26" t="s">
        <v>480</v>
      </c>
      <c r="G12" s="20" t="s">
        <v>512</v>
      </c>
      <c r="H12" s="20" t="s">
        <v>513</v>
      </c>
      <c r="I12" s="20" t="s">
        <v>514</v>
      </c>
      <c r="J12" s="20" t="s">
        <v>515</v>
      </c>
      <c r="K12" s="20" t="s">
        <v>105</v>
      </c>
      <c r="L12" s="20" t="s">
        <v>105</v>
      </c>
      <c r="M12" s="20" t="s">
        <v>485</v>
      </c>
      <c r="N12" s="20"/>
    </row>
    <row r="13" spans="1:14">
      <c r="A13" s="20">
        <v>11</v>
      </c>
      <c r="B13" s="21" t="s">
        <v>516</v>
      </c>
      <c r="C13" s="22" t="s">
        <v>69</v>
      </c>
      <c r="D13" s="22" t="s">
        <v>517</v>
      </c>
      <c r="E13" s="23" t="s">
        <v>78</v>
      </c>
      <c r="F13" s="24" t="s">
        <v>480</v>
      </c>
      <c r="G13" s="20" t="s">
        <v>518</v>
      </c>
      <c r="H13" s="20" t="s">
        <v>519</v>
      </c>
      <c r="I13" s="20" t="s">
        <v>520</v>
      </c>
      <c r="J13" s="20" t="s">
        <v>521</v>
      </c>
      <c r="K13" s="20" t="s">
        <v>105</v>
      </c>
      <c r="L13" s="20" t="s">
        <v>105</v>
      </c>
      <c r="M13" s="20" t="s">
        <v>485</v>
      </c>
      <c r="N13" s="20"/>
    </row>
    <row r="14" spans="1:14">
      <c r="A14" s="20">
        <v>12</v>
      </c>
      <c r="B14" s="21" t="s">
        <v>522</v>
      </c>
      <c r="C14" s="25" t="s">
        <v>71</v>
      </c>
      <c r="D14" s="25" t="s">
        <v>523</v>
      </c>
      <c r="E14" s="23" t="s">
        <v>78</v>
      </c>
      <c r="F14" s="26" t="s">
        <v>480</v>
      </c>
      <c r="G14" s="20" t="s">
        <v>524</v>
      </c>
      <c r="H14" s="20" t="s">
        <v>525</v>
      </c>
      <c r="I14" s="20" t="s">
        <v>526</v>
      </c>
      <c r="J14" s="20" t="s">
        <v>527</v>
      </c>
      <c r="K14" s="20" t="s">
        <v>105</v>
      </c>
      <c r="L14" s="20" t="s">
        <v>105</v>
      </c>
      <c r="M14" s="20" t="s">
        <v>485</v>
      </c>
      <c r="N14" s="20" t="s">
        <v>528</v>
      </c>
    </row>
    <row r="15" spans="1:14">
      <c r="A15" s="20">
        <v>13</v>
      </c>
      <c r="B15" s="21" t="s">
        <v>529</v>
      </c>
      <c r="C15" s="22" t="s">
        <v>69</v>
      </c>
      <c r="D15" s="22" t="s">
        <v>530</v>
      </c>
      <c r="E15" s="23" t="s">
        <v>78</v>
      </c>
      <c r="F15" s="24" t="s">
        <v>531</v>
      </c>
      <c r="G15" s="20" t="s">
        <v>532</v>
      </c>
      <c r="H15" s="20" t="s">
        <v>533</v>
      </c>
      <c r="I15" s="20" t="s">
        <v>534</v>
      </c>
      <c r="J15" s="20" t="s">
        <v>535</v>
      </c>
      <c r="K15" s="20" t="s">
        <v>105</v>
      </c>
      <c r="L15" s="28"/>
      <c r="M15" s="20" t="s">
        <v>348</v>
      </c>
      <c r="N15" s="20"/>
    </row>
    <row r="16" spans="1:14">
      <c r="A16" s="20">
        <v>14</v>
      </c>
      <c r="B16" s="21" t="s">
        <v>536</v>
      </c>
      <c r="C16" s="25" t="s">
        <v>69</v>
      </c>
      <c r="D16" s="25" t="s">
        <v>537</v>
      </c>
      <c r="E16" s="23" t="s">
        <v>78</v>
      </c>
      <c r="F16" s="26" t="s">
        <v>531</v>
      </c>
      <c r="G16" s="20" t="s">
        <v>538</v>
      </c>
      <c r="H16" s="20" t="s">
        <v>539</v>
      </c>
      <c r="I16" s="20" t="s">
        <v>540</v>
      </c>
      <c r="J16" s="20" t="s">
        <v>541</v>
      </c>
      <c r="K16" s="20" t="s">
        <v>105</v>
      </c>
      <c r="L16" s="20" t="s">
        <v>105</v>
      </c>
      <c r="M16" s="20" t="s">
        <v>542</v>
      </c>
      <c r="N16" s="20"/>
    </row>
    <row r="17" spans="1:14">
      <c r="A17" s="20">
        <v>15</v>
      </c>
      <c r="B17" s="21" t="s">
        <v>543</v>
      </c>
      <c r="C17" s="22" t="s">
        <v>69</v>
      </c>
      <c r="D17" s="22" t="s">
        <v>544</v>
      </c>
      <c r="E17" s="23" t="s">
        <v>78</v>
      </c>
      <c r="F17" s="24" t="s">
        <v>531</v>
      </c>
      <c r="G17" s="20" t="s">
        <v>545</v>
      </c>
      <c r="H17" s="20" t="s">
        <v>546</v>
      </c>
      <c r="I17" s="20" t="s">
        <v>547</v>
      </c>
      <c r="J17" s="20" t="s">
        <v>548</v>
      </c>
      <c r="K17" s="20" t="s">
        <v>105</v>
      </c>
      <c r="L17" s="28"/>
      <c r="M17" s="20" t="s">
        <v>348</v>
      </c>
      <c r="N17" s="20"/>
    </row>
    <row r="18" spans="1:14">
      <c r="A18" s="20">
        <v>16</v>
      </c>
      <c r="B18" s="21" t="s">
        <v>549</v>
      </c>
      <c r="C18" s="25" t="s">
        <v>69</v>
      </c>
      <c r="D18" s="25" t="s">
        <v>550</v>
      </c>
      <c r="E18" s="23" t="s">
        <v>78</v>
      </c>
      <c r="F18" s="26" t="s">
        <v>531</v>
      </c>
      <c r="G18" s="20" t="s">
        <v>551</v>
      </c>
      <c r="H18" s="20" t="s">
        <v>552</v>
      </c>
      <c r="I18" s="20" t="s">
        <v>553</v>
      </c>
      <c r="J18" s="20" t="s">
        <v>554</v>
      </c>
      <c r="K18" s="20" t="s">
        <v>105</v>
      </c>
      <c r="L18" s="20" t="s">
        <v>105</v>
      </c>
      <c r="M18" s="20" t="s">
        <v>542</v>
      </c>
      <c r="N18" s="20"/>
    </row>
    <row r="19" spans="1:14">
      <c r="A19" s="20">
        <v>17</v>
      </c>
      <c r="B19" s="21" t="s">
        <v>555</v>
      </c>
      <c r="C19" s="22" t="s">
        <v>69</v>
      </c>
      <c r="D19" s="22" t="s">
        <v>556</v>
      </c>
      <c r="E19" s="23" t="s">
        <v>78</v>
      </c>
      <c r="F19" s="24" t="s">
        <v>531</v>
      </c>
      <c r="G19" s="20" t="s">
        <v>557</v>
      </c>
      <c r="H19" s="20" t="s">
        <v>558</v>
      </c>
      <c r="I19" s="20" t="s">
        <v>559</v>
      </c>
      <c r="J19" s="20" t="s">
        <v>560</v>
      </c>
      <c r="K19" s="20" t="s">
        <v>105</v>
      </c>
      <c r="L19" s="20" t="s">
        <v>105</v>
      </c>
      <c r="M19" s="20" t="s">
        <v>561</v>
      </c>
      <c r="N19" s="20"/>
    </row>
    <row r="20" spans="1:14">
      <c r="A20" s="20">
        <v>18</v>
      </c>
      <c r="B20" s="21" t="s">
        <v>562</v>
      </c>
      <c r="C20" s="25" t="s">
        <v>69</v>
      </c>
      <c r="D20" s="25" t="s">
        <v>563</v>
      </c>
      <c r="E20" s="23" t="s">
        <v>78</v>
      </c>
      <c r="F20" s="26" t="s">
        <v>531</v>
      </c>
      <c r="G20" s="20" t="s">
        <v>564</v>
      </c>
      <c r="H20" s="20" t="s">
        <v>565</v>
      </c>
      <c r="I20" s="20" t="s">
        <v>566</v>
      </c>
      <c r="J20" s="20" t="s">
        <v>567</v>
      </c>
      <c r="K20" s="20" t="s">
        <v>105</v>
      </c>
      <c r="L20" s="20" t="s">
        <v>105</v>
      </c>
      <c r="M20" s="20" t="s">
        <v>542</v>
      </c>
      <c r="N20" s="20"/>
    </row>
    <row r="21" spans="1:14">
      <c r="A21" s="20">
        <v>19</v>
      </c>
      <c r="B21" s="21" t="s">
        <v>568</v>
      </c>
      <c r="C21" s="21" t="s">
        <v>69</v>
      </c>
      <c r="D21" s="21" t="s">
        <v>569</v>
      </c>
      <c r="E21" s="23" t="s">
        <v>78</v>
      </c>
      <c r="F21" s="20" t="s">
        <v>531</v>
      </c>
      <c r="G21" s="20" t="s">
        <v>570</v>
      </c>
      <c r="H21" s="20" t="s">
        <v>571</v>
      </c>
      <c r="I21" s="20" t="s">
        <v>572</v>
      </c>
      <c r="J21" s="20" t="s">
        <v>573</v>
      </c>
      <c r="K21" s="20" t="s">
        <v>105</v>
      </c>
      <c r="L21" s="20" t="s">
        <v>105</v>
      </c>
      <c r="M21" s="20" t="s">
        <v>542</v>
      </c>
      <c r="N21" s="20"/>
    </row>
    <row r="22" spans="1:14">
      <c r="A22" s="20">
        <v>20</v>
      </c>
      <c r="B22" s="20" t="s">
        <v>574</v>
      </c>
      <c r="C22" s="20" t="s">
        <v>69</v>
      </c>
      <c r="D22" s="20" t="s">
        <v>575</v>
      </c>
      <c r="E22" s="27" t="s">
        <v>78</v>
      </c>
      <c r="F22" s="20" t="s">
        <v>531</v>
      </c>
      <c r="G22" s="20" t="s">
        <v>576</v>
      </c>
      <c r="H22" s="20" t="s">
        <v>577</v>
      </c>
      <c r="I22" s="20" t="s">
        <v>578</v>
      </c>
      <c r="J22" s="20" t="s">
        <v>579</v>
      </c>
      <c r="K22" s="20" t="s">
        <v>105</v>
      </c>
      <c r="L22" s="20" t="s">
        <v>105</v>
      </c>
      <c r="M22" s="20" t="s">
        <v>542</v>
      </c>
      <c r="N22" s="20"/>
    </row>
    <row r="23" spans="1:14">
      <c r="A23" s="20">
        <v>21</v>
      </c>
      <c r="B23" s="20" t="s">
        <v>580</v>
      </c>
      <c r="C23" s="20" t="s">
        <v>69</v>
      </c>
      <c r="D23" s="20" t="s">
        <v>581</v>
      </c>
      <c r="E23" s="27" t="s">
        <v>78</v>
      </c>
      <c r="F23" s="20" t="s">
        <v>531</v>
      </c>
      <c r="G23" s="20" t="s">
        <v>582</v>
      </c>
      <c r="H23" s="20" t="s">
        <v>583</v>
      </c>
      <c r="I23" s="20" t="s">
        <v>584</v>
      </c>
      <c r="J23" s="20" t="s">
        <v>585</v>
      </c>
      <c r="K23" s="20" t="s">
        <v>105</v>
      </c>
      <c r="L23" s="20" t="s">
        <v>105</v>
      </c>
      <c r="M23" s="20" t="s">
        <v>542</v>
      </c>
      <c r="N23" s="20"/>
    </row>
    <row r="24" spans="1:14">
      <c r="A24" s="20">
        <v>22</v>
      </c>
      <c r="B24" s="20" t="s">
        <v>586</v>
      </c>
      <c r="C24" s="20" t="s">
        <v>69</v>
      </c>
      <c r="D24" s="20" t="s">
        <v>587</v>
      </c>
      <c r="E24" s="27" t="s">
        <v>78</v>
      </c>
      <c r="F24" s="20" t="s">
        <v>531</v>
      </c>
      <c r="G24" s="20" t="s">
        <v>588</v>
      </c>
      <c r="H24" s="20" t="s">
        <v>589</v>
      </c>
      <c r="I24" s="20" t="s">
        <v>590</v>
      </c>
      <c r="J24" s="20" t="s">
        <v>591</v>
      </c>
      <c r="K24" s="20" t="s">
        <v>105</v>
      </c>
      <c r="L24" s="20" t="s">
        <v>105</v>
      </c>
      <c r="M24" s="20" t="s">
        <v>542</v>
      </c>
      <c r="N24" s="20"/>
    </row>
    <row r="25" spans="1:14">
      <c r="A25" s="20">
        <v>23</v>
      </c>
      <c r="B25" s="20" t="s">
        <v>592</v>
      </c>
      <c r="C25" s="20" t="s">
        <v>69</v>
      </c>
      <c r="D25" s="20" t="s">
        <v>593</v>
      </c>
      <c r="E25" s="27" t="s">
        <v>78</v>
      </c>
      <c r="F25" s="20" t="s">
        <v>531</v>
      </c>
      <c r="G25" s="20" t="s">
        <v>594</v>
      </c>
      <c r="H25" s="20" t="s">
        <v>595</v>
      </c>
      <c r="I25" s="20" t="s">
        <v>596</v>
      </c>
      <c r="J25" s="20" t="s">
        <v>597</v>
      </c>
      <c r="K25" s="20" t="s">
        <v>105</v>
      </c>
      <c r="L25" s="20" t="s">
        <v>105</v>
      </c>
      <c r="M25" s="20" t="s">
        <v>542</v>
      </c>
      <c r="N25" s="20"/>
    </row>
    <row r="26" spans="1:14">
      <c r="A26" s="20">
        <v>24</v>
      </c>
      <c r="B26" s="20" t="s">
        <v>598</v>
      </c>
      <c r="C26" s="20" t="s">
        <v>69</v>
      </c>
      <c r="D26" s="20" t="s">
        <v>599</v>
      </c>
      <c r="E26" s="27" t="s">
        <v>78</v>
      </c>
      <c r="F26" s="20" t="s">
        <v>531</v>
      </c>
      <c r="G26" s="20" t="s">
        <v>600</v>
      </c>
      <c r="H26" s="20" t="s">
        <v>601</v>
      </c>
      <c r="I26" s="20" t="s">
        <v>602</v>
      </c>
      <c r="J26" s="20" t="s">
        <v>603</v>
      </c>
      <c r="K26" s="20" t="s">
        <v>105</v>
      </c>
      <c r="L26" s="20" t="s">
        <v>105</v>
      </c>
      <c r="M26" s="20" t="s">
        <v>604</v>
      </c>
      <c r="N26" s="20"/>
    </row>
    <row r="27" spans="1:14">
      <c r="A27" s="20">
        <v>25</v>
      </c>
      <c r="B27" s="20" t="s">
        <v>605</v>
      </c>
      <c r="C27" s="20" t="s">
        <v>69</v>
      </c>
      <c r="D27" s="20" t="s">
        <v>606</v>
      </c>
      <c r="E27" s="27" t="s">
        <v>78</v>
      </c>
      <c r="F27" s="20" t="s">
        <v>531</v>
      </c>
      <c r="G27" s="20" t="s">
        <v>607</v>
      </c>
      <c r="H27" s="20" t="s">
        <v>608</v>
      </c>
      <c r="I27" s="20" t="s">
        <v>609</v>
      </c>
      <c r="J27" s="20" t="s">
        <v>610</v>
      </c>
      <c r="K27" s="20" t="s">
        <v>105</v>
      </c>
      <c r="L27" s="20" t="s">
        <v>105</v>
      </c>
      <c r="M27" s="20" t="s">
        <v>542</v>
      </c>
      <c r="N27" s="20"/>
    </row>
    <row r="28" spans="1:14">
      <c r="A28" s="20">
        <v>26</v>
      </c>
      <c r="B28" s="20" t="s">
        <v>611</v>
      </c>
      <c r="C28" s="20" t="s">
        <v>69</v>
      </c>
      <c r="D28" s="20" t="s">
        <v>612</v>
      </c>
      <c r="E28" s="27" t="s">
        <v>78</v>
      </c>
      <c r="F28" s="20" t="s">
        <v>531</v>
      </c>
      <c r="G28" s="20" t="s">
        <v>613</v>
      </c>
      <c r="H28" s="20" t="s">
        <v>614</v>
      </c>
      <c r="I28" s="20" t="s">
        <v>615</v>
      </c>
      <c r="J28" s="20" t="s">
        <v>616</v>
      </c>
      <c r="K28" s="20" t="s">
        <v>105</v>
      </c>
      <c r="L28" s="20" t="s">
        <v>105</v>
      </c>
      <c r="M28" s="20" t="s">
        <v>542</v>
      </c>
      <c r="N28" s="20"/>
    </row>
    <row r="29" spans="1:14">
      <c r="A29" s="20">
        <v>27</v>
      </c>
      <c r="B29" s="20" t="s">
        <v>617</v>
      </c>
      <c r="C29" s="20" t="s">
        <v>69</v>
      </c>
      <c r="D29" s="20" t="s">
        <v>618</v>
      </c>
      <c r="E29" s="27" t="s">
        <v>78</v>
      </c>
      <c r="F29" s="20" t="s">
        <v>531</v>
      </c>
      <c r="G29" s="20" t="s">
        <v>619</v>
      </c>
      <c r="H29" s="20" t="s">
        <v>620</v>
      </c>
      <c r="I29" s="20" t="s">
        <v>621</v>
      </c>
      <c r="J29" s="20" t="s">
        <v>622</v>
      </c>
      <c r="K29" s="20" t="s">
        <v>105</v>
      </c>
      <c r="L29" s="20" t="s">
        <v>105</v>
      </c>
      <c r="M29" s="20" t="s">
        <v>542</v>
      </c>
      <c r="N29" s="20"/>
    </row>
    <row r="30" spans="1:14">
      <c r="A30" s="20">
        <v>28</v>
      </c>
      <c r="B30" s="20" t="s">
        <v>623</v>
      </c>
      <c r="C30" s="20" t="s">
        <v>69</v>
      </c>
      <c r="D30" s="20" t="s">
        <v>624</v>
      </c>
      <c r="E30" s="29" t="s">
        <v>65</v>
      </c>
      <c r="F30" s="20" t="s">
        <v>343</v>
      </c>
      <c r="G30" s="20" t="s">
        <v>625</v>
      </c>
      <c r="H30" s="20" t="s">
        <v>626</v>
      </c>
      <c r="I30" s="20" t="s">
        <v>627</v>
      </c>
      <c r="J30" s="20"/>
      <c r="K30" s="29"/>
      <c r="L30" s="28"/>
      <c r="M30" s="20" t="s">
        <v>628</v>
      </c>
      <c r="N30" s="20"/>
    </row>
    <row r="31" spans="1:14">
      <c r="A31" s="20">
        <v>29</v>
      </c>
      <c r="B31" s="20" t="s">
        <v>629</v>
      </c>
      <c r="C31" s="20" t="s">
        <v>69</v>
      </c>
      <c r="D31" s="20" t="s">
        <v>630</v>
      </c>
      <c r="E31" s="29" t="s">
        <v>65</v>
      </c>
      <c r="F31" s="20" t="s">
        <v>343</v>
      </c>
      <c r="G31" s="20" t="s">
        <v>631</v>
      </c>
      <c r="H31" s="20" t="s">
        <v>632</v>
      </c>
      <c r="I31" s="20" t="s">
        <v>633</v>
      </c>
      <c r="J31" s="20"/>
      <c r="K31" s="29"/>
      <c r="L31" s="28"/>
      <c r="M31" s="20" t="s">
        <v>628</v>
      </c>
      <c r="N31" s="20"/>
    </row>
    <row r="32" spans="1:14">
      <c r="A32" s="20">
        <v>30</v>
      </c>
      <c r="B32" s="20" t="s">
        <v>634</v>
      </c>
      <c r="C32" s="20" t="s">
        <v>69</v>
      </c>
      <c r="D32" s="20" t="s">
        <v>635</v>
      </c>
      <c r="E32" s="29" t="s">
        <v>65</v>
      </c>
      <c r="F32" s="20" t="s">
        <v>343</v>
      </c>
      <c r="G32" s="20" t="s">
        <v>636</v>
      </c>
      <c r="H32" s="20" t="s">
        <v>637</v>
      </c>
      <c r="I32" s="20" t="s">
        <v>638</v>
      </c>
      <c r="J32" s="20"/>
      <c r="K32" s="29"/>
      <c r="L32" s="28"/>
      <c r="M32" s="20" t="s">
        <v>628</v>
      </c>
      <c r="N32" s="20"/>
    </row>
    <row r="33" spans="1:14">
      <c r="A33" s="20">
        <v>31</v>
      </c>
      <c r="B33" s="20" t="s">
        <v>639</v>
      </c>
      <c r="C33" s="20" t="s">
        <v>69</v>
      </c>
      <c r="D33" s="20" t="s">
        <v>640</v>
      </c>
      <c r="E33" s="29" t="s">
        <v>65</v>
      </c>
      <c r="F33" s="20" t="s">
        <v>343</v>
      </c>
      <c r="G33" s="20" t="s">
        <v>641</v>
      </c>
      <c r="H33" s="20" t="s">
        <v>642</v>
      </c>
      <c r="I33" s="20" t="s">
        <v>643</v>
      </c>
      <c r="J33" s="20"/>
      <c r="K33" s="29"/>
      <c r="L33" s="28"/>
      <c r="M33" s="20" t="s">
        <v>628</v>
      </c>
      <c r="N33" s="20"/>
    </row>
    <row r="34" spans="1:14">
      <c r="A34" s="20">
        <v>32</v>
      </c>
      <c r="B34" s="20" t="s">
        <v>644</v>
      </c>
      <c r="C34" s="20" t="s">
        <v>69</v>
      </c>
      <c r="D34" s="20" t="s">
        <v>645</v>
      </c>
      <c r="E34" s="27" t="s">
        <v>78</v>
      </c>
      <c r="F34" s="20" t="s">
        <v>531</v>
      </c>
      <c r="G34" s="20" t="s">
        <v>646</v>
      </c>
      <c r="H34" s="20" t="s">
        <v>647</v>
      </c>
      <c r="I34" s="20" t="s">
        <v>648</v>
      </c>
      <c r="J34" s="20" t="s">
        <v>649</v>
      </c>
      <c r="K34" s="20" t="s">
        <v>105</v>
      </c>
      <c r="L34" s="20" t="s">
        <v>105</v>
      </c>
      <c r="M34" s="20" t="s">
        <v>542</v>
      </c>
      <c r="N34" s="20"/>
    </row>
    <row r="35" spans="1:14">
      <c r="A35" s="20">
        <v>33</v>
      </c>
      <c r="B35" s="20" t="s">
        <v>650</v>
      </c>
      <c r="C35" s="20" t="s">
        <v>69</v>
      </c>
      <c r="D35" s="20" t="s">
        <v>651</v>
      </c>
      <c r="E35" s="27" t="s">
        <v>78</v>
      </c>
      <c r="F35" s="20" t="s">
        <v>531</v>
      </c>
      <c r="G35" s="20" t="s">
        <v>652</v>
      </c>
      <c r="H35" s="20" t="s">
        <v>653</v>
      </c>
      <c r="I35" s="20" t="s">
        <v>654</v>
      </c>
      <c r="J35" s="20" t="s">
        <v>655</v>
      </c>
      <c r="K35" s="20" t="s">
        <v>105</v>
      </c>
      <c r="L35" s="20" t="s">
        <v>105</v>
      </c>
      <c r="M35" s="20" t="s">
        <v>656</v>
      </c>
      <c r="N35" s="20"/>
    </row>
    <row r="36" spans="1:14">
      <c r="A36" s="20">
        <v>34</v>
      </c>
      <c r="B36" s="20" t="s">
        <v>657</v>
      </c>
      <c r="C36" s="20" t="s">
        <v>69</v>
      </c>
      <c r="D36" s="20" t="s">
        <v>658</v>
      </c>
      <c r="E36" s="27" t="s">
        <v>78</v>
      </c>
      <c r="F36" s="20" t="s">
        <v>531</v>
      </c>
      <c r="G36" s="20" t="s">
        <v>659</v>
      </c>
      <c r="H36" s="20" t="s">
        <v>660</v>
      </c>
      <c r="I36" s="20" t="s">
        <v>661</v>
      </c>
      <c r="J36" s="20" t="s">
        <v>662</v>
      </c>
      <c r="K36" s="20" t="s">
        <v>105</v>
      </c>
      <c r="L36" s="20" t="s">
        <v>105</v>
      </c>
      <c r="M36" s="20" t="s">
        <v>656</v>
      </c>
      <c r="N36" s="20"/>
    </row>
    <row r="37" spans="1:14">
      <c r="A37" s="20">
        <v>35</v>
      </c>
      <c r="B37" s="20" t="s">
        <v>663</v>
      </c>
      <c r="C37" s="20" t="s">
        <v>69</v>
      </c>
      <c r="D37" s="20" t="s">
        <v>664</v>
      </c>
      <c r="E37" s="27" t="s">
        <v>78</v>
      </c>
      <c r="F37" s="20" t="s">
        <v>531</v>
      </c>
      <c r="G37" s="20" t="s">
        <v>665</v>
      </c>
      <c r="H37" s="20" t="s">
        <v>666</v>
      </c>
      <c r="I37" s="20" t="s">
        <v>667</v>
      </c>
      <c r="J37" s="20" t="s">
        <v>668</v>
      </c>
      <c r="K37" s="20" t="s">
        <v>105</v>
      </c>
      <c r="L37" s="20" t="s">
        <v>105</v>
      </c>
      <c r="M37" s="20" t="s">
        <v>656</v>
      </c>
      <c r="N37" s="20"/>
    </row>
    <row r="38" spans="1:14">
      <c r="A38" s="20">
        <v>36</v>
      </c>
      <c r="B38" s="20" t="s">
        <v>669</v>
      </c>
      <c r="C38" s="20" t="s">
        <v>79</v>
      </c>
      <c r="D38" s="20" t="s">
        <v>670</v>
      </c>
      <c r="E38" s="27" t="s">
        <v>78</v>
      </c>
      <c r="F38" s="20" t="s">
        <v>531</v>
      </c>
      <c r="G38" s="20" t="s">
        <v>671</v>
      </c>
      <c r="H38" s="20" t="s">
        <v>672</v>
      </c>
      <c r="I38" s="20" t="s">
        <v>673</v>
      </c>
      <c r="J38" s="20" t="s">
        <v>674</v>
      </c>
      <c r="K38" s="20" t="s">
        <v>105</v>
      </c>
      <c r="L38" s="28"/>
      <c r="M38" s="20" t="s">
        <v>348</v>
      </c>
      <c r="N38" s="20"/>
    </row>
    <row r="39" spans="1:14">
      <c r="A39" s="20">
        <v>37</v>
      </c>
      <c r="B39" s="20" t="s">
        <v>675</v>
      </c>
      <c r="C39" s="20" t="s">
        <v>79</v>
      </c>
      <c r="D39" s="20" t="s">
        <v>676</v>
      </c>
      <c r="E39" s="27" t="s">
        <v>78</v>
      </c>
      <c r="F39" s="20" t="s">
        <v>531</v>
      </c>
      <c r="G39" s="20" t="s">
        <v>677</v>
      </c>
      <c r="H39" s="20" t="s">
        <v>672</v>
      </c>
      <c r="I39" s="20" t="s">
        <v>678</v>
      </c>
      <c r="J39" s="20" t="s">
        <v>679</v>
      </c>
      <c r="K39" s="20" t="s">
        <v>105</v>
      </c>
      <c r="L39" s="28"/>
      <c r="M39" s="20" t="s">
        <v>348</v>
      </c>
      <c r="N39" s="20"/>
    </row>
    <row r="40" spans="1:14">
      <c r="A40" s="20">
        <v>38</v>
      </c>
      <c r="B40" s="20" t="s">
        <v>680</v>
      </c>
      <c r="C40" s="20" t="s">
        <v>79</v>
      </c>
      <c r="D40" s="20" t="s">
        <v>681</v>
      </c>
      <c r="E40" s="27" t="s">
        <v>78</v>
      </c>
      <c r="F40" s="20" t="s">
        <v>531</v>
      </c>
      <c r="G40" s="20" t="s">
        <v>682</v>
      </c>
      <c r="H40" s="20" t="s">
        <v>672</v>
      </c>
      <c r="I40" s="20" t="s">
        <v>683</v>
      </c>
      <c r="J40" s="20" t="s">
        <v>684</v>
      </c>
      <c r="K40" s="20" t="s">
        <v>105</v>
      </c>
      <c r="L40" s="28"/>
      <c r="M40" s="20" t="s">
        <v>348</v>
      </c>
      <c r="N40" s="20" t="s">
        <v>685</v>
      </c>
    </row>
    <row r="41" spans="1:14">
      <c r="A41" s="20">
        <v>39</v>
      </c>
      <c r="B41" s="20" t="s">
        <v>686</v>
      </c>
      <c r="C41" s="20" t="s">
        <v>69</v>
      </c>
      <c r="D41" s="20" t="s">
        <v>687</v>
      </c>
      <c r="E41" s="27" t="s">
        <v>78</v>
      </c>
      <c r="F41" s="20" t="s">
        <v>531</v>
      </c>
      <c r="G41" s="20" t="s">
        <v>688</v>
      </c>
      <c r="H41" s="20" t="s">
        <v>689</v>
      </c>
      <c r="I41" s="20" t="s">
        <v>690</v>
      </c>
      <c r="J41" s="20" t="s">
        <v>691</v>
      </c>
      <c r="K41" s="20" t="s">
        <v>105</v>
      </c>
      <c r="L41" s="20" t="s">
        <v>105</v>
      </c>
      <c r="M41" s="20" t="s">
        <v>692</v>
      </c>
      <c r="N41" s="20"/>
    </row>
    <row r="42" spans="1:14">
      <c r="A42" s="20">
        <v>40</v>
      </c>
      <c r="B42" s="20" t="s">
        <v>693</v>
      </c>
      <c r="C42" s="20" t="s">
        <v>69</v>
      </c>
      <c r="D42" s="20" t="s">
        <v>694</v>
      </c>
      <c r="E42" s="27" t="s">
        <v>78</v>
      </c>
      <c r="F42" s="20" t="s">
        <v>531</v>
      </c>
      <c r="G42" s="20" t="s">
        <v>695</v>
      </c>
      <c r="H42" s="20" t="s">
        <v>696</v>
      </c>
      <c r="I42" s="20" t="s">
        <v>697</v>
      </c>
      <c r="J42" s="20" t="s">
        <v>698</v>
      </c>
      <c r="K42" s="20" t="s">
        <v>105</v>
      </c>
      <c r="L42" s="20" t="s">
        <v>105</v>
      </c>
      <c r="M42" s="20" t="s">
        <v>692</v>
      </c>
      <c r="N42" s="20"/>
    </row>
    <row r="43" spans="1:14">
      <c r="A43" s="20">
        <v>41</v>
      </c>
      <c r="B43" s="20" t="s">
        <v>699</v>
      </c>
      <c r="C43" s="20" t="s">
        <v>69</v>
      </c>
      <c r="D43" s="20" t="s">
        <v>700</v>
      </c>
      <c r="E43" s="27" t="s">
        <v>78</v>
      </c>
      <c r="F43" s="20" t="s">
        <v>531</v>
      </c>
      <c r="G43" s="20" t="s">
        <v>701</v>
      </c>
      <c r="H43" s="20" t="s">
        <v>702</v>
      </c>
      <c r="I43" s="20" t="s">
        <v>703</v>
      </c>
      <c r="J43" s="20" t="s">
        <v>704</v>
      </c>
      <c r="K43" s="20" t="s">
        <v>105</v>
      </c>
      <c r="L43" s="28"/>
      <c r="M43" s="20" t="s">
        <v>348</v>
      </c>
      <c r="N43" s="20"/>
    </row>
    <row r="44" spans="1:14">
      <c r="A44" s="20">
        <v>42</v>
      </c>
      <c r="B44" s="20" t="s">
        <v>705</v>
      </c>
      <c r="C44" s="20" t="s">
        <v>69</v>
      </c>
      <c r="D44" s="20" t="s">
        <v>706</v>
      </c>
      <c r="E44" s="27" t="s">
        <v>78</v>
      </c>
      <c r="F44" s="20" t="s">
        <v>531</v>
      </c>
      <c r="G44" s="20" t="s">
        <v>707</v>
      </c>
      <c r="H44" s="20" t="s">
        <v>708</v>
      </c>
      <c r="I44" s="20" t="s">
        <v>709</v>
      </c>
      <c r="J44" s="20" t="s">
        <v>710</v>
      </c>
      <c r="K44" s="20" t="s">
        <v>105</v>
      </c>
      <c r="L44" s="20" t="s">
        <v>105</v>
      </c>
      <c r="M44" s="20" t="s">
        <v>692</v>
      </c>
      <c r="N44" s="20"/>
    </row>
    <row r="45" spans="1:14">
      <c r="A45" s="20">
        <v>43</v>
      </c>
      <c r="B45" s="20" t="s">
        <v>711</v>
      </c>
      <c r="C45" s="20" t="s">
        <v>69</v>
      </c>
      <c r="D45" s="20" t="s">
        <v>712</v>
      </c>
      <c r="E45" s="27" t="s">
        <v>78</v>
      </c>
      <c r="F45" s="20" t="s">
        <v>531</v>
      </c>
      <c r="G45" s="20" t="s">
        <v>713</v>
      </c>
      <c r="H45" s="20" t="s">
        <v>714</v>
      </c>
      <c r="I45" s="20" t="s">
        <v>715</v>
      </c>
      <c r="J45" s="20" t="s">
        <v>716</v>
      </c>
      <c r="K45" s="20" t="s">
        <v>105</v>
      </c>
      <c r="L45" s="20" t="s">
        <v>105</v>
      </c>
      <c r="M45" s="20" t="s">
        <v>692</v>
      </c>
      <c r="N45" s="20"/>
    </row>
    <row r="46" spans="1:14">
      <c r="A46" s="20">
        <v>44</v>
      </c>
      <c r="B46" s="20" t="s">
        <v>717</v>
      </c>
      <c r="C46" s="20" t="s">
        <v>69</v>
      </c>
      <c r="D46" s="20" t="s">
        <v>718</v>
      </c>
      <c r="E46" s="27" t="s">
        <v>78</v>
      </c>
      <c r="F46" s="20" t="s">
        <v>531</v>
      </c>
      <c r="G46" s="20" t="s">
        <v>719</v>
      </c>
      <c r="H46" s="20" t="s">
        <v>720</v>
      </c>
      <c r="I46" s="20" t="s">
        <v>721</v>
      </c>
      <c r="J46" s="20" t="s">
        <v>722</v>
      </c>
      <c r="K46" s="20" t="s">
        <v>105</v>
      </c>
      <c r="L46" s="28"/>
      <c r="M46" s="20" t="s">
        <v>348</v>
      </c>
      <c r="N46" s="20"/>
    </row>
    <row r="47" spans="1:14">
      <c r="A47" s="20">
        <v>45</v>
      </c>
      <c r="B47" s="20" t="s">
        <v>723</v>
      </c>
      <c r="C47" s="20" t="s">
        <v>69</v>
      </c>
      <c r="D47" s="20" t="s">
        <v>724</v>
      </c>
      <c r="E47" s="27" t="s">
        <v>78</v>
      </c>
      <c r="F47" s="20" t="s">
        <v>531</v>
      </c>
      <c r="G47" s="20" t="s">
        <v>725</v>
      </c>
      <c r="H47" s="20" t="s">
        <v>726</v>
      </c>
      <c r="I47" s="20" t="s">
        <v>727</v>
      </c>
      <c r="J47" s="20" t="s">
        <v>728</v>
      </c>
      <c r="K47" s="20" t="s">
        <v>105</v>
      </c>
      <c r="L47" s="20" t="s">
        <v>105</v>
      </c>
      <c r="M47" s="20" t="s">
        <v>692</v>
      </c>
      <c r="N47" s="20"/>
    </row>
    <row r="48" spans="1:14">
      <c r="A48" s="20">
        <v>46</v>
      </c>
      <c r="B48" s="20" t="s">
        <v>729</v>
      </c>
      <c r="C48" s="20" t="s">
        <v>69</v>
      </c>
      <c r="D48" s="20" t="s">
        <v>730</v>
      </c>
      <c r="E48" s="27" t="s">
        <v>78</v>
      </c>
      <c r="F48" s="20" t="s">
        <v>531</v>
      </c>
      <c r="G48" s="20" t="s">
        <v>731</v>
      </c>
      <c r="H48" s="20" t="s">
        <v>732</v>
      </c>
      <c r="I48" s="20" t="s">
        <v>733</v>
      </c>
      <c r="J48" s="20" t="s">
        <v>734</v>
      </c>
      <c r="K48" s="20" t="s">
        <v>105</v>
      </c>
      <c r="L48" s="20" t="s">
        <v>105</v>
      </c>
      <c r="M48" s="20" t="s">
        <v>692</v>
      </c>
      <c r="N48" s="20"/>
    </row>
    <row r="49" spans="1:14">
      <c r="A49" s="20">
        <v>47</v>
      </c>
      <c r="B49" s="20" t="s">
        <v>735</v>
      </c>
      <c r="C49" s="20" t="s">
        <v>69</v>
      </c>
      <c r="D49" s="20" t="s">
        <v>736</v>
      </c>
      <c r="E49" s="27" t="s">
        <v>78</v>
      </c>
      <c r="F49" s="20" t="s">
        <v>531</v>
      </c>
      <c r="G49" s="20" t="s">
        <v>737</v>
      </c>
      <c r="H49" s="20" t="s">
        <v>738</v>
      </c>
      <c r="I49" s="20" t="s">
        <v>739</v>
      </c>
      <c r="J49" s="20" t="s">
        <v>740</v>
      </c>
      <c r="K49" s="20" t="s">
        <v>105</v>
      </c>
      <c r="L49" s="28"/>
      <c r="M49" s="20" t="s">
        <v>348</v>
      </c>
      <c r="N49" s="20"/>
    </row>
    <row r="50" spans="1:14">
      <c r="A50" s="20">
        <v>48</v>
      </c>
      <c r="B50" s="20" t="s">
        <v>741</v>
      </c>
      <c r="C50" s="20" t="s">
        <v>69</v>
      </c>
      <c r="D50" s="20" t="s">
        <v>742</v>
      </c>
      <c r="E50" s="27" t="s">
        <v>78</v>
      </c>
      <c r="F50" s="20" t="s">
        <v>531</v>
      </c>
      <c r="G50" s="20" t="s">
        <v>743</v>
      </c>
      <c r="H50" s="20" t="s">
        <v>744</v>
      </c>
      <c r="I50" s="20" t="s">
        <v>745</v>
      </c>
      <c r="J50" s="20" t="s">
        <v>746</v>
      </c>
      <c r="K50" s="20" t="s">
        <v>105</v>
      </c>
      <c r="L50" s="20" t="s">
        <v>105</v>
      </c>
      <c r="M50" s="20" t="s">
        <v>692</v>
      </c>
      <c r="N50" s="20"/>
    </row>
    <row r="51" spans="1:14">
      <c r="A51" s="20">
        <v>49</v>
      </c>
      <c r="B51" s="20" t="s">
        <v>747</v>
      </c>
      <c r="C51" s="20" t="s">
        <v>69</v>
      </c>
      <c r="D51" s="20" t="s">
        <v>748</v>
      </c>
      <c r="E51" s="27" t="s">
        <v>78</v>
      </c>
      <c r="F51" s="20" t="s">
        <v>531</v>
      </c>
      <c r="G51" s="20" t="s">
        <v>749</v>
      </c>
      <c r="H51" s="20" t="s">
        <v>750</v>
      </c>
      <c r="I51" s="20" t="s">
        <v>751</v>
      </c>
      <c r="J51" s="20" t="s">
        <v>752</v>
      </c>
      <c r="K51" s="20" t="s">
        <v>105</v>
      </c>
      <c r="L51" s="20" t="s">
        <v>105</v>
      </c>
      <c r="M51" s="20" t="s">
        <v>692</v>
      </c>
      <c r="N51" s="20"/>
    </row>
    <row r="52" spans="1:14">
      <c r="A52" s="20">
        <v>50</v>
      </c>
      <c r="B52" s="20" t="s">
        <v>753</v>
      </c>
      <c r="C52" s="20" t="s">
        <v>69</v>
      </c>
      <c r="D52" s="20" t="s">
        <v>754</v>
      </c>
      <c r="E52" s="27" t="s">
        <v>78</v>
      </c>
      <c r="F52" s="20" t="s">
        <v>531</v>
      </c>
      <c r="G52" s="20" t="s">
        <v>755</v>
      </c>
      <c r="H52" s="20" t="s">
        <v>756</v>
      </c>
      <c r="I52" s="20" t="s">
        <v>757</v>
      </c>
      <c r="J52" s="20" t="s">
        <v>758</v>
      </c>
      <c r="K52" s="20" t="s">
        <v>105</v>
      </c>
      <c r="L52" s="20" t="s">
        <v>105</v>
      </c>
      <c r="M52" s="20" t="s">
        <v>692</v>
      </c>
      <c r="N52" s="20"/>
    </row>
    <row r="53" spans="1:14">
      <c r="A53" s="20">
        <v>51</v>
      </c>
      <c r="B53" s="20" t="s">
        <v>680</v>
      </c>
      <c r="C53" s="20" t="s">
        <v>79</v>
      </c>
      <c r="D53" s="20" t="s">
        <v>681</v>
      </c>
      <c r="E53" s="27" t="s">
        <v>78</v>
      </c>
      <c r="F53" s="20" t="s">
        <v>531</v>
      </c>
      <c r="G53" s="20" t="s">
        <v>759</v>
      </c>
      <c r="H53" s="20" t="s">
        <v>760</v>
      </c>
      <c r="I53" s="20" t="s">
        <v>761</v>
      </c>
      <c r="J53" s="20" t="s">
        <v>762</v>
      </c>
      <c r="K53" s="20" t="s">
        <v>105</v>
      </c>
      <c r="L53" s="28"/>
      <c r="M53" s="20" t="s">
        <v>348</v>
      </c>
      <c r="N53" s="20" t="s">
        <v>685</v>
      </c>
    </row>
    <row r="54" spans="1:14">
      <c r="A54" s="20">
        <v>52</v>
      </c>
      <c r="B54" s="20" t="s">
        <v>478</v>
      </c>
      <c r="C54" s="20" t="s">
        <v>69</v>
      </c>
      <c r="D54" s="20" t="s">
        <v>479</v>
      </c>
      <c r="E54" s="27" t="s">
        <v>78</v>
      </c>
      <c r="F54" s="20" t="s">
        <v>531</v>
      </c>
      <c r="G54" s="20" t="s">
        <v>481</v>
      </c>
      <c r="H54" s="20" t="s">
        <v>482</v>
      </c>
      <c r="I54" s="20" t="s">
        <v>763</v>
      </c>
      <c r="J54" s="20" t="s">
        <v>484</v>
      </c>
      <c r="K54" s="20" t="s">
        <v>105</v>
      </c>
      <c r="L54" s="20" t="s">
        <v>105</v>
      </c>
      <c r="M54" s="20" t="s">
        <v>485</v>
      </c>
      <c r="N54" s="20"/>
    </row>
    <row r="55" spans="1:14">
      <c r="A55" s="20">
        <v>53</v>
      </c>
      <c r="B55" s="20" t="s">
        <v>764</v>
      </c>
      <c r="C55" s="20" t="s">
        <v>69</v>
      </c>
      <c r="D55" s="20" t="s">
        <v>765</v>
      </c>
      <c r="E55" s="27" t="s">
        <v>78</v>
      </c>
      <c r="F55" s="20" t="s">
        <v>531</v>
      </c>
      <c r="G55" s="20" t="s">
        <v>766</v>
      </c>
      <c r="H55" s="20" t="s">
        <v>489</v>
      </c>
      <c r="I55" s="20" t="s">
        <v>767</v>
      </c>
      <c r="J55" s="20" t="s">
        <v>491</v>
      </c>
      <c r="K55" s="20" t="s">
        <v>105</v>
      </c>
      <c r="L55" s="20" t="s">
        <v>105</v>
      </c>
      <c r="M55" s="20" t="s">
        <v>485</v>
      </c>
      <c r="N55" s="20"/>
    </row>
    <row r="56" spans="1:14">
      <c r="A56" s="20">
        <v>54</v>
      </c>
      <c r="B56" s="20" t="s">
        <v>768</v>
      </c>
      <c r="C56" s="20" t="s">
        <v>69</v>
      </c>
      <c r="D56" s="20" t="s">
        <v>769</v>
      </c>
      <c r="E56" s="27" t="s">
        <v>78</v>
      </c>
      <c r="F56" s="20" t="s">
        <v>531</v>
      </c>
      <c r="G56" s="20" t="s">
        <v>770</v>
      </c>
      <c r="H56" s="20" t="s">
        <v>495</v>
      </c>
      <c r="I56" s="20" t="s">
        <v>771</v>
      </c>
      <c r="J56" s="20" t="s">
        <v>497</v>
      </c>
      <c r="K56" s="20" t="s">
        <v>105</v>
      </c>
      <c r="L56" s="20" t="s">
        <v>105</v>
      </c>
      <c r="M56" s="20" t="s">
        <v>485</v>
      </c>
      <c r="N56" s="20"/>
    </row>
    <row r="57" spans="1:14">
      <c r="A57" s="20">
        <v>55</v>
      </c>
      <c r="B57" s="20" t="s">
        <v>772</v>
      </c>
      <c r="C57" s="20" t="s">
        <v>69</v>
      </c>
      <c r="D57" s="20" t="s">
        <v>773</v>
      </c>
      <c r="E57" s="27" t="s">
        <v>78</v>
      </c>
      <c r="F57" s="20" t="s">
        <v>531</v>
      </c>
      <c r="G57" s="20" t="s">
        <v>774</v>
      </c>
      <c r="H57" s="20" t="s">
        <v>501</v>
      </c>
      <c r="I57" s="20" t="s">
        <v>775</v>
      </c>
      <c r="J57" s="20" t="s">
        <v>503</v>
      </c>
      <c r="K57" s="20" t="s">
        <v>105</v>
      </c>
      <c r="L57" s="20" t="s">
        <v>105</v>
      </c>
      <c r="M57" s="20" t="s">
        <v>485</v>
      </c>
      <c r="N57" s="20"/>
    </row>
    <row r="58" spans="1:14">
      <c r="A58" s="20">
        <v>56</v>
      </c>
      <c r="B58" s="20" t="s">
        <v>776</v>
      </c>
      <c r="C58" s="20" t="s">
        <v>69</v>
      </c>
      <c r="D58" s="20" t="s">
        <v>777</v>
      </c>
      <c r="E58" s="27" t="s">
        <v>78</v>
      </c>
      <c r="F58" s="20" t="s">
        <v>531</v>
      </c>
      <c r="G58" s="20" t="s">
        <v>778</v>
      </c>
      <c r="H58" s="20" t="s">
        <v>507</v>
      </c>
      <c r="I58" s="20" t="s">
        <v>779</v>
      </c>
      <c r="J58" s="20" t="s">
        <v>509</v>
      </c>
      <c r="K58" s="20" t="s">
        <v>105</v>
      </c>
      <c r="L58" s="20" t="s">
        <v>105</v>
      </c>
      <c r="M58" s="20" t="s">
        <v>485</v>
      </c>
      <c r="N58" s="20"/>
    </row>
    <row r="59" spans="1:14">
      <c r="A59" s="20">
        <v>57</v>
      </c>
      <c r="B59" s="20" t="s">
        <v>780</v>
      </c>
      <c r="C59" s="20" t="s">
        <v>69</v>
      </c>
      <c r="D59" s="20" t="s">
        <v>781</v>
      </c>
      <c r="E59" s="27" t="s">
        <v>78</v>
      </c>
      <c r="F59" s="20" t="s">
        <v>531</v>
      </c>
      <c r="G59" s="20" t="s">
        <v>782</v>
      </c>
      <c r="H59" s="20" t="s">
        <v>513</v>
      </c>
      <c r="I59" s="20" t="s">
        <v>783</v>
      </c>
      <c r="J59" s="20" t="s">
        <v>515</v>
      </c>
      <c r="K59" s="20" t="s">
        <v>105</v>
      </c>
      <c r="L59" s="20" t="s">
        <v>105</v>
      </c>
      <c r="M59" s="20" t="s">
        <v>485</v>
      </c>
      <c r="N59" s="20"/>
    </row>
    <row r="60" spans="1:14">
      <c r="A60" s="20">
        <v>58</v>
      </c>
      <c r="B60" s="20" t="s">
        <v>784</v>
      </c>
      <c r="C60" s="20" t="s">
        <v>69</v>
      </c>
      <c r="D60" s="20" t="s">
        <v>785</v>
      </c>
      <c r="E60" s="27" t="s">
        <v>78</v>
      </c>
      <c r="F60" s="20" t="s">
        <v>531</v>
      </c>
      <c r="G60" s="20" t="s">
        <v>786</v>
      </c>
      <c r="H60" s="20" t="s">
        <v>519</v>
      </c>
      <c r="I60" s="20" t="s">
        <v>787</v>
      </c>
      <c r="J60" s="20" t="s">
        <v>521</v>
      </c>
      <c r="K60" s="20" t="s">
        <v>105</v>
      </c>
      <c r="L60" s="20" t="s">
        <v>105</v>
      </c>
      <c r="M60" s="20" t="s">
        <v>485</v>
      </c>
      <c r="N60" s="20"/>
    </row>
    <row r="61" spans="1:14">
      <c r="A61" s="20">
        <v>59</v>
      </c>
      <c r="B61" s="20" t="s">
        <v>522</v>
      </c>
      <c r="C61" s="20" t="s">
        <v>71</v>
      </c>
      <c r="D61" s="20" t="s">
        <v>523</v>
      </c>
      <c r="E61" s="27" t="s">
        <v>78</v>
      </c>
      <c r="F61" s="20" t="s">
        <v>531</v>
      </c>
      <c r="G61" s="20" t="s">
        <v>788</v>
      </c>
      <c r="H61" s="20" t="s">
        <v>525</v>
      </c>
      <c r="I61" s="20" t="s">
        <v>789</v>
      </c>
      <c r="J61" s="20" t="s">
        <v>790</v>
      </c>
      <c r="K61" s="20" t="s">
        <v>105</v>
      </c>
      <c r="L61" s="20" t="s">
        <v>105</v>
      </c>
      <c r="M61" s="20" t="s">
        <v>485</v>
      </c>
      <c r="N61" s="20" t="s">
        <v>528</v>
      </c>
    </row>
    <row r="62" spans="1:14">
      <c r="A62" s="20">
        <v>60</v>
      </c>
      <c r="B62" s="20" t="s">
        <v>680</v>
      </c>
      <c r="C62" s="20" t="s">
        <v>79</v>
      </c>
      <c r="D62" s="20" t="s">
        <v>681</v>
      </c>
      <c r="E62" s="27" t="s">
        <v>78</v>
      </c>
      <c r="F62" s="20" t="s">
        <v>531</v>
      </c>
      <c r="G62" s="20" t="s">
        <v>682</v>
      </c>
      <c r="H62" s="20" t="s">
        <v>791</v>
      </c>
      <c r="I62" s="20" t="s">
        <v>792</v>
      </c>
      <c r="J62" s="20" t="s">
        <v>793</v>
      </c>
      <c r="K62" s="20" t="s">
        <v>105</v>
      </c>
      <c r="L62" s="28"/>
      <c r="M62" s="20" t="s">
        <v>348</v>
      </c>
      <c r="N62" s="20" t="s">
        <v>685</v>
      </c>
    </row>
    <row r="63" spans="1:14">
      <c r="A63" s="20">
        <v>61</v>
      </c>
      <c r="B63" s="20" t="s">
        <v>794</v>
      </c>
      <c r="C63" s="20" t="s">
        <v>71</v>
      </c>
      <c r="D63" s="20" t="s">
        <v>795</v>
      </c>
      <c r="E63" s="27" t="s">
        <v>78</v>
      </c>
      <c r="F63" s="20" t="s">
        <v>531</v>
      </c>
      <c r="G63" s="20" t="s">
        <v>796</v>
      </c>
      <c r="H63" s="20" t="s">
        <v>797</v>
      </c>
      <c r="I63" s="20" t="s">
        <v>798</v>
      </c>
      <c r="J63" s="20" t="s">
        <v>799</v>
      </c>
      <c r="K63" s="20" t="s">
        <v>105</v>
      </c>
      <c r="L63" s="20" t="s">
        <v>105</v>
      </c>
      <c r="M63" s="20" t="s">
        <v>800</v>
      </c>
      <c r="N63" s="20"/>
    </row>
    <row r="64" spans="1:14">
      <c r="A64" s="20">
        <v>62</v>
      </c>
      <c r="B64" s="20" t="s">
        <v>801</v>
      </c>
      <c r="C64" s="20" t="s">
        <v>71</v>
      </c>
      <c r="D64" s="20" t="s">
        <v>802</v>
      </c>
      <c r="E64" s="27" t="s">
        <v>78</v>
      </c>
      <c r="F64" s="20" t="s">
        <v>531</v>
      </c>
      <c r="G64" s="20" t="s">
        <v>803</v>
      </c>
      <c r="H64" s="20" t="s">
        <v>804</v>
      </c>
      <c r="I64" s="20" t="s">
        <v>805</v>
      </c>
      <c r="J64" s="20" t="s">
        <v>806</v>
      </c>
      <c r="K64" s="20" t="s">
        <v>105</v>
      </c>
      <c r="L64" s="20" t="s">
        <v>105</v>
      </c>
      <c r="M64" s="20" t="s">
        <v>807</v>
      </c>
      <c r="N64" s="20"/>
    </row>
    <row r="65" spans="1:14">
      <c r="A65" s="20">
        <v>63</v>
      </c>
      <c r="B65" s="20" t="s">
        <v>808</v>
      </c>
      <c r="C65" s="20" t="s">
        <v>71</v>
      </c>
      <c r="D65" s="20" t="s">
        <v>809</v>
      </c>
      <c r="E65" s="27" t="s">
        <v>78</v>
      </c>
      <c r="F65" s="20" t="s">
        <v>531</v>
      </c>
      <c r="G65" s="20" t="s">
        <v>810</v>
      </c>
      <c r="H65" s="20" t="s">
        <v>811</v>
      </c>
      <c r="I65" s="20" t="s">
        <v>812</v>
      </c>
      <c r="J65" s="20" t="s">
        <v>813</v>
      </c>
      <c r="K65" s="20" t="s">
        <v>105</v>
      </c>
      <c r="L65" s="20" t="s">
        <v>105</v>
      </c>
      <c r="M65" s="20" t="s">
        <v>814</v>
      </c>
      <c r="N65" s="20"/>
    </row>
    <row r="66" spans="1:14">
      <c r="A66" s="20">
        <v>64</v>
      </c>
      <c r="B66" s="20" t="s">
        <v>815</v>
      </c>
      <c r="C66" s="20" t="s">
        <v>71</v>
      </c>
      <c r="D66" s="20" t="s">
        <v>816</v>
      </c>
      <c r="E66" s="27" t="s">
        <v>78</v>
      </c>
      <c r="F66" s="20" t="s">
        <v>531</v>
      </c>
      <c r="G66" s="20" t="s">
        <v>817</v>
      </c>
      <c r="H66" s="20" t="s">
        <v>818</v>
      </c>
      <c r="I66" s="20" t="s">
        <v>819</v>
      </c>
      <c r="J66" s="20" t="s">
        <v>820</v>
      </c>
      <c r="K66" s="20" t="s">
        <v>105</v>
      </c>
      <c r="L66" s="20" t="s">
        <v>105</v>
      </c>
      <c r="M66" s="20" t="s">
        <v>821</v>
      </c>
      <c r="N66" s="20"/>
    </row>
    <row r="67" spans="1:14">
      <c r="A67" s="20">
        <v>65</v>
      </c>
      <c r="B67" s="20" t="s">
        <v>822</v>
      </c>
      <c r="C67" s="20" t="s">
        <v>71</v>
      </c>
      <c r="D67" s="20" t="s">
        <v>823</v>
      </c>
      <c r="E67" s="27" t="s">
        <v>78</v>
      </c>
      <c r="F67" s="20" t="s">
        <v>531</v>
      </c>
      <c r="G67" s="20" t="s">
        <v>824</v>
      </c>
      <c r="H67" s="20" t="s">
        <v>825</v>
      </c>
      <c r="I67" s="20" t="s">
        <v>826</v>
      </c>
      <c r="J67" s="20" t="s">
        <v>827</v>
      </c>
      <c r="K67" s="20" t="s">
        <v>105</v>
      </c>
      <c r="L67" s="20" t="s">
        <v>105</v>
      </c>
      <c r="M67" s="20" t="s">
        <v>828</v>
      </c>
      <c r="N67" s="20"/>
    </row>
    <row r="68" spans="1:14">
      <c r="A68" s="20">
        <v>66</v>
      </c>
      <c r="B68" s="20" t="s">
        <v>829</v>
      </c>
      <c r="C68" s="20" t="s">
        <v>71</v>
      </c>
      <c r="D68" s="20" t="s">
        <v>830</v>
      </c>
      <c r="E68" s="27" t="s">
        <v>78</v>
      </c>
      <c r="F68" s="20" t="s">
        <v>531</v>
      </c>
      <c r="G68" s="20" t="s">
        <v>831</v>
      </c>
      <c r="H68" s="20" t="s">
        <v>832</v>
      </c>
      <c r="I68" s="20" t="s">
        <v>833</v>
      </c>
      <c r="J68" s="20" t="s">
        <v>834</v>
      </c>
      <c r="K68" s="20" t="s">
        <v>105</v>
      </c>
      <c r="L68" s="20" t="s">
        <v>105</v>
      </c>
      <c r="M68" s="20" t="s">
        <v>835</v>
      </c>
      <c r="N68" s="20"/>
    </row>
    <row r="69" spans="1:14">
      <c r="A69" s="20">
        <v>67</v>
      </c>
      <c r="B69" s="20" t="s">
        <v>836</v>
      </c>
      <c r="C69" s="20" t="s">
        <v>71</v>
      </c>
      <c r="D69" s="20" t="s">
        <v>837</v>
      </c>
      <c r="E69" s="27" t="s">
        <v>78</v>
      </c>
      <c r="F69" s="20" t="s">
        <v>531</v>
      </c>
      <c r="G69" s="20" t="s">
        <v>838</v>
      </c>
      <c r="H69" s="20" t="s">
        <v>839</v>
      </c>
      <c r="I69" s="20" t="s">
        <v>840</v>
      </c>
      <c r="J69" s="20" t="s">
        <v>841</v>
      </c>
      <c r="K69" s="20" t="s">
        <v>105</v>
      </c>
      <c r="L69" s="20" t="s">
        <v>105</v>
      </c>
      <c r="M69" s="20" t="s">
        <v>842</v>
      </c>
      <c r="N69" s="20"/>
    </row>
    <row r="70" spans="1:14">
      <c r="A70" s="20">
        <v>68</v>
      </c>
      <c r="B70" s="20" t="s">
        <v>843</v>
      </c>
      <c r="C70" s="20" t="s">
        <v>71</v>
      </c>
      <c r="D70" s="20" t="s">
        <v>844</v>
      </c>
      <c r="E70" s="27" t="s">
        <v>78</v>
      </c>
      <c r="F70" s="20" t="s">
        <v>531</v>
      </c>
      <c r="G70" s="20" t="s">
        <v>845</v>
      </c>
      <c r="H70" s="20" t="s">
        <v>846</v>
      </c>
      <c r="I70" s="20" t="s">
        <v>847</v>
      </c>
      <c r="J70" s="20" t="s">
        <v>848</v>
      </c>
      <c r="K70" s="20" t="s">
        <v>105</v>
      </c>
      <c r="L70" s="20" t="s">
        <v>105</v>
      </c>
      <c r="M70" s="20" t="s">
        <v>849</v>
      </c>
      <c r="N70" s="20"/>
    </row>
    <row r="71" spans="1:14">
      <c r="A71" s="20">
        <v>69</v>
      </c>
      <c r="B71" s="20" t="s">
        <v>850</v>
      </c>
      <c r="C71" s="20" t="s">
        <v>71</v>
      </c>
      <c r="D71" s="20" t="s">
        <v>851</v>
      </c>
      <c r="E71" s="27" t="s">
        <v>78</v>
      </c>
      <c r="F71" s="20" t="s">
        <v>531</v>
      </c>
      <c r="G71" s="20" t="s">
        <v>852</v>
      </c>
      <c r="H71" s="20" t="s">
        <v>853</v>
      </c>
      <c r="I71" s="20" t="s">
        <v>854</v>
      </c>
      <c r="J71" s="20" t="s">
        <v>855</v>
      </c>
      <c r="K71" s="20" t="s">
        <v>105</v>
      </c>
      <c r="L71" s="20" t="s">
        <v>105</v>
      </c>
      <c r="M71" s="20" t="s">
        <v>856</v>
      </c>
      <c r="N71" s="20"/>
    </row>
    <row r="72" spans="1:14">
      <c r="A72" s="20">
        <v>70</v>
      </c>
      <c r="B72" s="20" t="s">
        <v>857</v>
      </c>
      <c r="C72" s="20" t="s">
        <v>71</v>
      </c>
      <c r="D72" s="20" t="s">
        <v>858</v>
      </c>
      <c r="E72" s="27" t="s">
        <v>78</v>
      </c>
      <c r="F72" s="20" t="s">
        <v>531</v>
      </c>
      <c r="G72" s="20" t="s">
        <v>859</v>
      </c>
      <c r="H72" s="20" t="s">
        <v>860</v>
      </c>
      <c r="I72" s="20" t="s">
        <v>861</v>
      </c>
      <c r="J72" s="20" t="s">
        <v>862</v>
      </c>
      <c r="K72" s="20" t="s">
        <v>105</v>
      </c>
      <c r="L72" s="20" t="s">
        <v>105</v>
      </c>
      <c r="M72" s="20" t="s">
        <v>863</v>
      </c>
      <c r="N72" s="20"/>
    </row>
    <row r="73" spans="1:14">
      <c r="A73" s="20">
        <v>71</v>
      </c>
      <c r="B73" s="20" t="s">
        <v>864</v>
      </c>
      <c r="C73" s="20" t="s">
        <v>69</v>
      </c>
      <c r="D73" s="20" t="s">
        <v>865</v>
      </c>
      <c r="E73" s="27" t="s">
        <v>78</v>
      </c>
      <c r="F73" s="20" t="s">
        <v>531</v>
      </c>
      <c r="G73" s="20" t="s">
        <v>866</v>
      </c>
      <c r="H73" s="20" t="s">
        <v>867</v>
      </c>
      <c r="I73" s="20" t="s">
        <v>868</v>
      </c>
      <c r="J73" s="20" t="s">
        <v>869</v>
      </c>
      <c r="K73" s="20" t="s">
        <v>105</v>
      </c>
      <c r="L73" s="20" t="s">
        <v>105</v>
      </c>
      <c r="M73" s="20" t="s">
        <v>220</v>
      </c>
      <c r="N73" s="20"/>
    </row>
    <row r="74" spans="1:14">
      <c r="A74" s="20">
        <v>72</v>
      </c>
      <c r="B74" s="20" t="s">
        <v>870</v>
      </c>
      <c r="C74" s="20" t="s">
        <v>69</v>
      </c>
      <c r="D74" s="20" t="s">
        <v>871</v>
      </c>
      <c r="E74" s="27" t="s">
        <v>78</v>
      </c>
      <c r="F74" s="20" t="s">
        <v>531</v>
      </c>
      <c r="G74" s="20" t="s">
        <v>872</v>
      </c>
      <c r="H74" s="20" t="s">
        <v>873</v>
      </c>
      <c r="I74" s="20" t="s">
        <v>874</v>
      </c>
      <c r="J74" s="20" t="s">
        <v>875</v>
      </c>
      <c r="K74" s="20" t="s">
        <v>105</v>
      </c>
      <c r="L74" s="20" t="s">
        <v>105</v>
      </c>
      <c r="M74" s="20" t="s">
        <v>220</v>
      </c>
      <c r="N74" s="20"/>
    </row>
    <row r="75" spans="1:14">
      <c r="A75" s="20">
        <v>73</v>
      </c>
      <c r="B75" s="20" t="s">
        <v>876</v>
      </c>
      <c r="C75" s="20" t="s">
        <v>69</v>
      </c>
      <c r="D75" s="20" t="s">
        <v>877</v>
      </c>
      <c r="E75" s="27" t="s">
        <v>78</v>
      </c>
      <c r="F75" s="20" t="s">
        <v>531</v>
      </c>
      <c r="G75" s="20" t="s">
        <v>878</v>
      </c>
      <c r="H75" s="20" t="s">
        <v>879</v>
      </c>
      <c r="I75" s="20" t="s">
        <v>880</v>
      </c>
      <c r="J75" s="20" t="s">
        <v>881</v>
      </c>
      <c r="K75" s="20" t="s">
        <v>105</v>
      </c>
      <c r="L75" s="20" t="s">
        <v>105</v>
      </c>
      <c r="M75" s="20" t="s">
        <v>220</v>
      </c>
      <c r="N75" s="20"/>
    </row>
    <row r="76" spans="1:14">
      <c r="A76" s="20">
        <v>74</v>
      </c>
      <c r="B76" s="20" t="s">
        <v>882</v>
      </c>
      <c r="C76" s="20" t="s">
        <v>69</v>
      </c>
      <c r="D76" s="20" t="s">
        <v>883</v>
      </c>
      <c r="E76" s="27" t="s">
        <v>78</v>
      </c>
      <c r="F76" s="20" t="s">
        <v>531</v>
      </c>
      <c r="G76" s="20" t="s">
        <v>884</v>
      </c>
      <c r="H76" s="20" t="s">
        <v>885</v>
      </c>
      <c r="I76" s="20" t="s">
        <v>886</v>
      </c>
      <c r="J76" s="20" t="s">
        <v>887</v>
      </c>
      <c r="K76" s="20" t="s">
        <v>105</v>
      </c>
      <c r="L76" s="20" t="s">
        <v>105</v>
      </c>
      <c r="M76" s="20" t="s">
        <v>220</v>
      </c>
      <c r="N76" s="20"/>
    </row>
    <row r="77" spans="1:14">
      <c r="A77" s="20">
        <v>75</v>
      </c>
      <c r="B77" s="20" t="s">
        <v>888</v>
      </c>
      <c r="C77" s="20" t="s">
        <v>69</v>
      </c>
      <c r="D77" s="20" t="s">
        <v>889</v>
      </c>
      <c r="E77" s="27" t="s">
        <v>78</v>
      </c>
      <c r="F77" s="20" t="s">
        <v>531</v>
      </c>
      <c r="G77" s="20" t="s">
        <v>890</v>
      </c>
      <c r="H77" s="20" t="s">
        <v>891</v>
      </c>
      <c r="I77" s="20" t="s">
        <v>892</v>
      </c>
      <c r="J77" s="20" t="s">
        <v>893</v>
      </c>
      <c r="K77" s="20" t="s">
        <v>105</v>
      </c>
      <c r="L77" s="20" t="s">
        <v>105</v>
      </c>
      <c r="M77" s="20" t="s">
        <v>220</v>
      </c>
      <c r="N77" s="20"/>
    </row>
    <row r="78" spans="1:14">
      <c r="A78" s="20">
        <v>76</v>
      </c>
      <c r="B78" s="20" t="s">
        <v>894</v>
      </c>
      <c r="C78" s="20" t="s">
        <v>69</v>
      </c>
      <c r="D78" s="20" t="s">
        <v>895</v>
      </c>
      <c r="E78" s="27" t="s">
        <v>78</v>
      </c>
      <c r="F78" s="20" t="s">
        <v>531</v>
      </c>
      <c r="G78" s="20" t="s">
        <v>896</v>
      </c>
      <c r="H78" s="20" t="s">
        <v>897</v>
      </c>
      <c r="I78" s="20" t="s">
        <v>898</v>
      </c>
      <c r="J78" s="20" t="s">
        <v>899</v>
      </c>
      <c r="K78" s="20" t="s">
        <v>105</v>
      </c>
      <c r="L78" s="20" t="s">
        <v>105</v>
      </c>
      <c r="M78" s="20" t="s">
        <v>220</v>
      </c>
      <c r="N78" s="20"/>
    </row>
    <row r="79" spans="1:14">
      <c r="A79" s="20">
        <v>77</v>
      </c>
      <c r="B79" s="20" t="s">
        <v>900</v>
      </c>
      <c r="C79" s="20" t="s">
        <v>69</v>
      </c>
      <c r="D79" s="20" t="s">
        <v>901</v>
      </c>
      <c r="E79" s="27" t="s">
        <v>78</v>
      </c>
      <c r="F79" s="20" t="s">
        <v>531</v>
      </c>
      <c r="G79" s="20" t="s">
        <v>902</v>
      </c>
      <c r="H79" s="20" t="s">
        <v>903</v>
      </c>
      <c r="I79" s="20" t="s">
        <v>904</v>
      </c>
      <c r="J79" s="20" t="s">
        <v>905</v>
      </c>
      <c r="K79" s="20" t="s">
        <v>105</v>
      </c>
      <c r="L79" s="20" t="s">
        <v>105</v>
      </c>
      <c r="M79" s="20" t="s">
        <v>220</v>
      </c>
      <c r="N79" s="20"/>
    </row>
    <row r="80" spans="1:14">
      <c r="A80" s="20">
        <v>78</v>
      </c>
      <c r="B80" s="20" t="s">
        <v>906</v>
      </c>
      <c r="C80" s="20" t="s">
        <v>69</v>
      </c>
      <c r="D80" s="20" t="s">
        <v>907</v>
      </c>
      <c r="E80" s="27" t="s">
        <v>78</v>
      </c>
      <c r="F80" s="20" t="s">
        <v>531</v>
      </c>
      <c r="G80" s="20" t="s">
        <v>908</v>
      </c>
      <c r="H80" s="20" t="s">
        <v>909</v>
      </c>
      <c r="I80" s="20" t="s">
        <v>910</v>
      </c>
      <c r="J80" s="20" t="s">
        <v>911</v>
      </c>
      <c r="K80" s="20" t="s">
        <v>105</v>
      </c>
      <c r="L80" s="20" t="s">
        <v>105</v>
      </c>
      <c r="M80" s="20" t="s">
        <v>220</v>
      </c>
      <c r="N80" s="20"/>
    </row>
    <row r="81" spans="1:14">
      <c r="A81" s="20">
        <v>79</v>
      </c>
      <c r="B81" s="20" t="s">
        <v>912</v>
      </c>
      <c r="C81" s="20" t="s">
        <v>69</v>
      </c>
      <c r="D81" s="20" t="s">
        <v>913</v>
      </c>
      <c r="E81" s="27" t="s">
        <v>78</v>
      </c>
      <c r="F81" s="20" t="s">
        <v>531</v>
      </c>
      <c r="G81" s="20" t="s">
        <v>914</v>
      </c>
      <c r="H81" s="20" t="s">
        <v>915</v>
      </c>
      <c r="I81" s="20" t="s">
        <v>916</v>
      </c>
      <c r="J81" s="20" t="s">
        <v>917</v>
      </c>
      <c r="K81" s="20" t="s">
        <v>105</v>
      </c>
      <c r="L81" s="20" t="s">
        <v>105</v>
      </c>
      <c r="M81" s="20" t="s">
        <v>220</v>
      </c>
      <c r="N81" s="20"/>
    </row>
    <row r="82" spans="1:14">
      <c r="A82" s="20">
        <v>80</v>
      </c>
      <c r="B82" s="20" t="s">
        <v>918</v>
      </c>
      <c r="C82" s="20" t="s">
        <v>69</v>
      </c>
      <c r="D82" s="20" t="s">
        <v>919</v>
      </c>
      <c r="E82" s="27" t="s">
        <v>78</v>
      </c>
      <c r="F82" s="20" t="s">
        <v>531</v>
      </c>
      <c r="G82" s="20" t="s">
        <v>920</v>
      </c>
      <c r="H82" s="20" t="s">
        <v>921</v>
      </c>
      <c r="I82" s="20" t="s">
        <v>922</v>
      </c>
      <c r="J82" s="20" t="s">
        <v>923</v>
      </c>
      <c r="K82" s="20" t="s">
        <v>105</v>
      </c>
      <c r="L82" s="20" t="s">
        <v>105</v>
      </c>
      <c r="M82" s="20" t="s">
        <v>220</v>
      </c>
      <c r="N82" s="20"/>
    </row>
    <row r="83" spans="1:14">
      <c r="A83" s="20">
        <v>81</v>
      </c>
      <c r="B83" s="20" t="s">
        <v>924</v>
      </c>
      <c r="C83" s="20" t="s">
        <v>69</v>
      </c>
      <c r="D83" s="20" t="s">
        <v>925</v>
      </c>
      <c r="E83" s="27" t="s">
        <v>78</v>
      </c>
      <c r="F83" s="20" t="s">
        <v>531</v>
      </c>
      <c r="G83" s="20" t="s">
        <v>926</v>
      </c>
      <c r="H83" s="20" t="s">
        <v>927</v>
      </c>
      <c r="I83" s="20" t="s">
        <v>928</v>
      </c>
      <c r="J83" s="20" t="s">
        <v>929</v>
      </c>
      <c r="K83" s="20" t="s">
        <v>105</v>
      </c>
      <c r="L83" s="20" t="s">
        <v>105</v>
      </c>
      <c r="M83" s="20" t="s">
        <v>930</v>
      </c>
      <c r="N83" s="20"/>
    </row>
    <row r="84" spans="1:14">
      <c r="A84" s="20">
        <v>82</v>
      </c>
      <c r="B84" s="20" t="s">
        <v>931</v>
      </c>
      <c r="C84" s="20" t="s">
        <v>69</v>
      </c>
      <c r="D84" s="20" t="s">
        <v>932</v>
      </c>
      <c r="E84" s="27" t="s">
        <v>78</v>
      </c>
      <c r="F84" s="20" t="s">
        <v>531</v>
      </c>
      <c r="G84" s="20" t="s">
        <v>933</v>
      </c>
      <c r="H84" s="20" t="s">
        <v>934</v>
      </c>
      <c r="I84" s="20" t="s">
        <v>935</v>
      </c>
      <c r="J84" s="20" t="s">
        <v>936</v>
      </c>
      <c r="K84" s="20" t="s">
        <v>105</v>
      </c>
      <c r="L84" s="20" t="s">
        <v>105</v>
      </c>
      <c r="M84" s="20" t="s">
        <v>930</v>
      </c>
      <c r="N84" s="20"/>
    </row>
    <row r="85" spans="1:14">
      <c r="A85" s="20">
        <v>83</v>
      </c>
      <c r="B85" s="20" t="s">
        <v>937</v>
      </c>
      <c r="C85" s="20" t="s">
        <v>69</v>
      </c>
      <c r="D85" s="20" t="s">
        <v>938</v>
      </c>
      <c r="E85" s="27" t="s">
        <v>78</v>
      </c>
      <c r="F85" s="20" t="s">
        <v>531</v>
      </c>
      <c r="G85" s="20" t="s">
        <v>939</v>
      </c>
      <c r="H85" s="20" t="s">
        <v>940</v>
      </c>
      <c r="I85" s="20" t="s">
        <v>941</v>
      </c>
      <c r="J85" s="20" t="s">
        <v>942</v>
      </c>
      <c r="K85" s="20" t="s">
        <v>105</v>
      </c>
      <c r="L85" s="20" t="s">
        <v>105</v>
      </c>
      <c r="M85" s="20" t="s">
        <v>485</v>
      </c>
      <c r="N85" s="20"/>
    </row>
    <row r="86" spans="1:14">
      <c r="A86" s="20">
        <v>84</v>
      </c>
      <c r="B86" s="20" t="s">
        <v>943</v>
      </c>
      <c r="C86" s="20" t="s">
        <v>69</v>
      </c>
      <c r="D86" s="20" t="s">
        <v>944</v>
      </c>
      <c r="E86" s="27" t="s">
        <v>78</v>
      </c>
      <c r="F86" s="20" t="s">
        <v>531</v>
      </c>
      <c r="G86" s="20" t="s">
        <v>945</v>
      </c>
      <c r="H86" s="20" t="s">
        <v>946</v>
      </c>
      <c r="I86" s="20" t="s">
        <v>947</v>
      </c>
      <c r="J86" s="20" t="s">
        <v>948</v>
      </c>
      <c r="K86" s="20" t="s">
        <v>105</v>
      </c>
      <c r="L86" s="20" t="s">
        <v>105</v>
      </c>
      <c r="M86" s="20" t="s">
        <v>930</v>
      </c>
      <c r="N86" s="20"/>
    </row>
    <row r="87" spans="1:14">
      <c r="A87" s="20">
        <v>85</v>
      </c>
      <c r="B87" s="20" t="s">
        <v>949</v>
      </c>
      <c r="C87" s="20" t="s">
        <v>75</v>
      </c>
      <c r="D87" s="20" t="s">
        <v>950</v>
      </c>
      <c r="E87" s="27" t="s">
        <v>78</v>
      </c>
      <c r="F87" s="20" t="s">
        <v>531</v>
      </c>
      <c r="G87" s="20" t="s">
        <v>951</v>
      </c>
      <c r="H87" s="20" t="s">
        <v>952</v>
      </c>
      <c r="I87" s="20" t="s">
        <v>953</v>
      </c>
      <c r="J87" s="20" t="s">
        <v>954</v>
      </c>
      <c r="K87" s="20" t="s">
        <v>105</v>
      </c>
      <c r="L87" s="20" t="s">
        <v>105</v>
      </c>
      <c r="M87" s="20" t="s">
        <v>930</v>
      </c>
      <c r="N87" s="20"/>
    </row>
    <row r="88" spans="1:14">
      <c r="A88" s="20">
        <v>86</v>
      </c>
      <c r="B88" s="20" t="s">
        <v>955</v>
      </c>
      <c r="C88" s="20" t="s">
        <v>69</v>
      </c>
      <c r="D88" s="20" t="s">
        <v>956</v>
      </c>
      <c r="E88" s="27" t="s">
        <v>78</v>
      </c>
      <c r="F88" s="20" t="s">
        <v>531</v>
      </c>
      <c r="G88" s="20" t="s">
        <v>957</v>
      </c>
      <c r="H88" s="20" t="s">
        <v>958</v>
      </c>
      <c r="I88" s="20" t="s">
        <v>959</v>
      </c>
      <c r="J88" s="20" t="s">
        <v>960</v>
      </c>
      <c r="K88" s="20" t="s">
        <v>105</v>
      </c>
      <c r="L88" s="20" t="s">
        <v>105</v>
      </c>
      <c r="M88" s="20" t="s">
        <v>930</v>
      </c>
      <c r="N88" s="20"/>
    </row>
    <row r="89" spans="1:14">
      <c r="A89" s="20">
        <v>87</v>
      </c>
      <c r="B89" s="20" t="s">
        <v>961</v>
      </c>
      <c r="C89" s="20" t="s">
        <v>69</v>
      </c>
      <c r="D89" s="20" t="s">
        <v>962</v>
      </c>
      <c r="E89" s="27" t="s">
        <v>78</v>
      </c>
      <c r="F89" s="20" t="s">
        <v>531</v>
      </c>
      <c r="G89" s="20" t="s">
        <v>963</v>
      </c>
      <c r="H89" s="20" t="s">
        <v>964</v>
      </c>
      <c r="I89" s="20" t="s">
        <v>965</v>
      </c>
      <c r="J89" s="20" t="s">
        <v>966</v>
      </c>
      <c r="K89" s="20" t="s">
        <v>105</v>
      </c>
      <c r="L89" s="20" t="s">
        <v>105</v>
      </c>
      <c r="M89" s="20" t="s">
        <v>220</v>
      </c>
      <c r="N89" s="20"/>
    </row>
    <row r="90" spans="1:14">
      <c r="A90" s="20">
        <v>88</v>
      </c>
      <c r="B90" s="20" t="s">
        <v>967</v>
      </c>
      <c r="C90" s="20" t="s">
        <v>69</v>
      </c>
      <c r="D90" s="20" t="s">
        <v>968</v>
      </c>
      <c r="E90" s="27" t="s">
        <v>78</v>
      </c>
      <c r="F90" s="20" t="s">
        <v>531</v>
      </c>
      <c r="G90" s="20" t="s">
        <v>969</v>
      </c>
      <c r="H90" s="20" t="s">
        <v>970</v>
      </c>
      <c r="I90" s="20" t="s">
        <v>971</v>
      </c>
      <c r="J90" s="20" t="s">
        <v>972</v>
      </c>
      <c r="K90" s="20" t="s">
        <v>105</v>
      </c>
      <c r="L90" s="20" t="s">
        <v>105</v>
      </c>
      <c r="M90" s="20" t="s">
        <v>220</v>
      </c>
      <c r="N90" s="20"/>
    </row>
    <row r="91" spans="1:14">
      <c r="A91" s="20">
        <v>89</v>
      </c>
      <c r="B91" s="20" t="s">
        <v>973</v>
      </c>
      <c r="C91" s="20" t="s">
        <v>69</v>
      </c>
      <c r="D91" s="20" t="s">
        <v>974</v>
      </c>
      <c r="E91" s="27" t="s">
        <v>78</v>
      </c>
      <c r="F91" s="20" t="s">
        <v>531</v>
      </c>
      <c r="G91" s="20" t="s">
        <v>975</v>
      </c>
      <c r="H91" s="20" t="s">
        <v>976</v>
      </c>
      <c r="I91" s="20" t="s">
        <v>977</v>
      </c>
      <c r="J91" s="20" t="s">
        <v>978</v>
      </c>
      <c r="K91" s="20" t="s">
        <v>105</v>
      </c>
      <c r="L91" s="20" t="s">
        <v>105</v>
      </c>
      <c r="M91" s="20" t="s">
        <v>220</v>
      </c>
      <c r="N91" s="20"/>
    </row>
    <row r="92" spans="1:14">
      <c r="A92" s="20">
        <v>90</v>
      </c>
      <c r="B92" s="20" t="s">
        <v>979</v>
      </c>
      <c r="C92" s="20" t="s">
        <v>69</v>
      </c>
      <c r="D92" s="20" t="s">
        <v>980</v>
      </c>
      <c r="E92" s="27" t="s">
        <v>78</v>
      </c>
      <c r="F92" s="20" t="s">
        <v>531</v>
      </c>
      <c r="G92" s="20" t="s">
        <v>981</v>
      </c>
      <c r="H92" s="20" t="s">
        <v>982</v>
      </c>
      <c r="I92" s="20" t="s">
        <v>983</v>
      </c>
      <c r="J92" s="20" t="s">
        <v>984</v>
      </c>
      <c r="K92" s="20" t="s">
        <v>105</v>
      </c>
      <c r="L92" s="20" t="s">
        <v>105</v>
      </c>
      <c r="M92" s="20" t="s">
        <v>220</v>
      </c>
      <c r="N92" s="20"/>
    </row>
    <row r="93" spans="1:14">
      <c r="A93" s="20">
        <v>91</v>
      </c>
      <c r="B93" s="20" t="s">
        <v>985</v>
      </c>
      <c r="C93" s="20" t="s">
        <v>69</v>
      </c>
      <c r="D93" s="20" t="s">
        <v>986</v>
      </c>
      <c r="E93" s="27" t="s">
        <v>78</v>
      </c>
      <c r="F93" s="20" t="s">
        <v>531</v>
      </c>
      <c r="G93" s="20" t="s">
        <v>987</v>
      </c>
      <c r="H93" s="20" t="s">
        <v>988</v>
      </c>
      <c r="I93" s="20" t="s">
        <v>989</v>
      </c>
      <c r="J93" s="20" t="s">
        <v>990</v>
      </c>
      <c r="K93" s="20" t="s">
        <v>105</v>
      </c>
      <c r="L93" s="20" t="s">
        <v>105</v>
      </c>
      <c r="M93" s="20" t="s">
        <v>220</v>
      </c>
      <c r="N93" s="20"/>
    </row>
    <row r="94" spans="1:14">
      <c r="A94" s="20">
        <v>92</v>
      </c>
      <c r="B94" s="20" t="s">
        <v>991</v>
      </c>
      <c r="C94" s="20" t="s">
        <v>69</v>
      </c>
      <c r="D94" s="20" t="s">
        <v>992</v>
      </c>
      <c r="E94" s="27" t="s">
        <v>78</v>
      </c>
      <c r="F94" s="20" t="s">
        <v>531</v>
      </c>
      <c r="G94" s="20" t="s">
        <v>993</v>
      </c>
      <c r="H94" s="20" t="s">
        <v>994</v>
      </c>
      <c r="I94" s="20" t="s">
        <v>995</v>
      </c>
      <c r="J94" s="20" t="s">
        <v>996</v>
      </c>
      <c r="K94" s="20" t="s">
        <v>105</v>
      </c>
      <c r="L94" s="20" t="s">
        <v>105</v>
      </c>
      <c r="M94" s="20" t="s">
        <v>220</v>
      </c>
      <c r="N94" s="20"/>
    </row>
    <row r="95" spans="1:14">
      <c r="A95" s="20">
        <v>93</v>
      </c>
      <c r="B95" s="20" t="s">
        <v>997</v>
      </c>
      <c r="C95" s="20" t="s">
        <v>69</v>
      </c>
      <c r="D95" s="20" t="s">
        <v>998</v>
      </c>
      <c r="E95" s="27" t="s">
        <v>78</v>
      </c>
      <c r="F95" s="20" t="s">
        <v>531</v>
      </c>
      <c r="G95" s="20" t="s">
        <v>999</v>
      </c>
      <c r="H95" s="20" t="s">
        <v>1000</v>
      </c>
      <c r="I95" s="20" t="s">
        <v>1001</v>
      </c>
      <c r="J95" s="20" t="s">
        <v>1002</v>
      </c>
      <c r="K95" s="20" t="s">
        <v>105</v>
      </c>
      <c r="L95" s="20" t="s">
        <v>105</v>
      </c>
      <c r="M95" s="20" t="s">
        <v>220</v>
      </c>
      <c r="N95" s="20"/>
    </row>
    <row r="96" spans="1:14">
      <c r="A96" s="20">
        <v>94</v>
      </c>
      <c r="B96" s="20" t="s">
        <v>1003</v>
      </c>
      <c r="C96" s="20" t="s">
        <v>69</v>
      </c>
      <c r="D96" s="20" t="s">
        <v>1004</v>
      </c>
      <c r="E96" s="27" t="s">
        <v>78</v>
      </c>
      <c r="F96" s="20" t="s">
        <v>531</v>
      </c>
      <c r="G96" s="20" t="s">
        <v>1005</v>
      </c>
      <c r="H96" s="20" t="s">
        <v>1006</v>
      </c>
      <c r="I96" s="20" t="s">
        <v>1007</v>
      </c>
      <c r="J96" s="20" t="s">
        <v>1008</v>
      </c>
      <c r="K96" s="20" t="s">
        <v>105</v>
      </c>
      <c r="L96" s="20" t="s">
        <v>105</v>
      </c>
      <c r="M96" s="20" t="s">
        <v>220</v>
      </c>
      <c r="N96" s="20"/>
    </row>
    <row r="97" spans="1:14">
      <c r="A97" s="20">
        <v>95</v>
      </c>
      <c r="B97" s="20" t="s">
        <v>1009</v>
      </c>
      <c r="C97" s="20" t="s">
        <v>69</v>
      </c>
      <c r="D97" s="20" t="s">
        <v>1010</v>
      </c>
      <c r="E97" s="27" t="s">
        <v>78</v>
      </c>
      <c r="F97" s="20" t="s">
        <v>531</v>
      </c>
      <c r="G97" s="20" t="s">
        <v>1011</v>
      </c>
      <c r="H97" s="20" t="s">
        <v>1012</v>
      </c>
      <c r="I97" s="20" t="s">
        <v>1013</v>
      </c>
      <c r="J97" s="20" t="s">
        <v>1014</v>
      </c>
      <c r="K97" s="20" t="s">
        <v>105</v>
      </c>
      <c r="L97" s="20" t="s">
        <v>105</v>
      </c>
      <c r="M97" s="20" t="s">
        <v>930</v>
      </c>
      <c r="N97" s="20"/>
    </row>
    <row r="98" spans="1:14">
      <c r="A98" s="20">
        <v>96</v>
      </c>
      <c r="B98" s="20" t="s">
        <v>1015</v>
      </c>
      <c r="C98" s="20" t="s">
        <v>69</v>
      </c>
      <c r="D98" s="20" t="s">
        <v>1016</v>
      </c>
      <c r="E98" s="27" t="s">
        <v>78</v>
      </c>
      <c r="F98" s="20" t="s">
        <v>531</v>
      </c>
      <c r="G98" s="20" t="s">
        <v>1017</v>
      </c>
      <c r="H98" s="20" t="s">
        <v>1018</v>
      </c>
      <c r="I98" s="20" t="s">
        <v>1019</v>
      </c>
      <c r="J98" s="20" t="s">
        <v>1020</v>
      </c>
      <c r="K98" s="20" t="s">
        <v>105</v>
      </c>
      <c r="L98" s="20" t="s">
        <v>105</v>
      </c>
      <c r="M98" s="20" t="s">
        <v>485</v>
      </c>
      <c r="N98" s="20"/>
    </row>
    <row r="99" spans="1:14">
      <c r="A99" s="20">
        <v>97</v>
      </c>
      <c r="B99" s="20" t="s">
        <v>1021</v>
      </c>
      <c r="C99" s="20" t="s">
        <v>69</v>
      </c>
      <c r="D99" s="20" t="s">
        <v>1022</v>
      </c>
      <c r="E99" s="27" t="s">
        <v>78</v>
      </c>
      <c r="F99" s="20" t="s">
        <v>531</v>
      </c>
      <c r="G99" s="20" t="s">
        <v>1023</v>
      </c>
      <c r="H99" s="20" t="s">
        <v>1024</v>
      </c>
      <c r="I99" s="20" t="s">
        <v>1025</v>
      </c>
      <c r="J99" s="20" t="s">
        <v>1026</v>
      </c>
      <c r="K99" s="20" t="s">
        <v>105</v>
      </c>
      <c r="L99" s="20" t="s">
        <v>105</v>
      </c>
      <c r="M99" s="20" t="s">
        <v>930</v>
      </c>
      <c r="N99" s="20" t="s">
        <v>528</v>
      </c>
    </row>
    <row r="100" spans="1:14">
      <c r="A100" s="20">
        <v>98</v>
      </c>
      <c r="B100" s="20" t="s">
        <v>1027</v>
      </c>
      <c r="C100" s="20" t="s">
        <v>69</v>
      </c>
      <c r="D100" s="20" t="s">
        <v>1028</v>
      </c>
      <c r="E100" s="27" t="s">
        <v>78</v>
      </c>
      <c r="F100" s="20" t="s">
        <v>531</v>
      </c>
      <c r="G100" s="20" t="s">
        <v>1029</v>
      </c>
      <c r="H100" s="20" t="s">
        <v>1030</v>
      </c>
      <c r="I100" s="20" t="s">
        <v>1031</v>
      </c>
      <c r="J100" s="20" t="s">
        <v>1032</v>
      </c>
      <c r="K100" s="20" t="s">
        <v>105</v>
      </c>
      <c r="L100" s="20" t="s">
        <v>105</v>
      </c>
      <c r="M100" s="20" t="s">
        <v>485</v>
      </c>
      <c r="N100" s="20" t="s">
        <v>528</v>
      </c>
    </row>
    <row r="101" spans="1:14">
      <c r="A101" s="20">
        <v>99</v>
      </c>
      <c r="B101" s="20" t="s">
        <v>1033</v>
      </c>
      <c r="C101" s="20" t="s">
        <v>69</v>
      </c>
      <c r="D101" s="20" t="s">
        <v>1034</v>
      </c>
      <c r="E101" s="27" t="s">
        <v>78</v>
      </c>
      <c r="F101" s="20" t="s">
        <v>531</v>
      </c>
      <c r="G101" s="20" t="s">
        <v>1035</v>
      </c>
      <c r="H101" s="20" t="s">
        <v>1036</v>
      </c>
      <c r="I101" s="20" t="s">
        <v>1037</v>
      </c>
      <c r="J101" s="20" t="s">
        <v>1038</v>
      </c>
      <c r="K101" s="20" t="s">
        <v>105</v>
      </c>
      <c r="L101" s="20" t="s">
        <v>105</v>
      </c>
      <c r="M101" s="20" t="s">
        <v>220</v>
      </c>
      <c r="N101" s="20"/>
    </row>
    <row r="102" spans="1:14">
      <c r="A102" s="20">
        <v>100</v>
      </c>
      <c r="B102" s="20" t="s">
        <v>1039</v>
      </c>
      <c r="C102" s="20" t="s">
        <v>69</v>
      </c>
      <c r="D102" s="20" t="s">
        <v>1040</v>
      </c>
      <c r="E102" s="27" t="s">
        <v>78</v>
      </c>
      <c r="F102" s="20" t="s">
        <v>531</v>
      </c>
      <c r="G102" s="20" t="s">
        <v>1041</v>
      </c>
      <c r="H102" s="20" t="s">
        <v>1042</v>
      </c>
      <c r="I102" s="20" t="s">
        <v>1043</v>
      </c>
      <c r="J102" s="20" t="s">
        <v>1044</v>
      </c>
      <c r="K102" s="20" t="s">
        <v>105</v>
      </c>
      <c r="L102" s="20" t="s">
        <v>105</v>
      </c>
      <c r="M102" s="20" t="s">
        <v>220</v>
      </c>
      <c r="N102" s="20"/>
    </row>
    <row r="103" spans="1:14">
      <c r="A103" s="20">
        <v>101</v>
      </c>
      <c r="B103" s="20" t="s">
        <v>1045</v>
      </c>
      <c r="C103" s="20" t="s">
        <v>69</v>
      </c>
      <c r="D103" s="20" t="s">
        <v>1046</v>
      </c>
      <c r="E103" s="27" t="s">
        <v>78</v>
      </c>
      <c r="F103" s="20" t="s">
        <v>531</v>
      </c>
      <c r="G103" s="20" t="s">
        <v>1047</v>
      </c>
      <c r="H103" s="20" t="s">
        <v>1048</v>
      </c>
      <c r="I103" s="20" t="s">
        <v>1049</v>
      </c>
      <c r="J103" s="20" t="s">
        <v>1050</v>
      </c>
      <c r="K103" s="20" t="s">
        <v>105</v>
      </c>
      <c r="L103" s="20" t="s">
        <v>105</v>
      </c>
      <c r="M103" s="20" t="s">
        <v>220</v>
      </c>
      <c r="N103" s="20"/>
    </row>
    <row r="104" spans="1:14">
      <c r="A104" s="20">
        <v>102</v>
      </c>
      <c r="B104" s="20" t="s">
        <v>1051</v>
      </c>
      <c r="C104" s="20" t="s">
        <v>69</v>
      </c>
      <c r="D104" s="20" t="s">
        <v>1052</v>
      </c>
      <c r="E104" s="27" t="s">
        <v>78</v>
      </c>
      <c r="F104" s="20" t="s">
        <v>531</v>
      </c>
      <c r="G104" s="20" t="s">
        <v>1053</v>
      </c>
      <c r="H104" s="20" t="s">
        <v>1054</v>
      </c>
      <c r="I104" s="20" t="s">
        <v>1055</v>
      </c>
      <c r="J104" s="20" t="s">
        <v>1056</v>
      </c>
      <c r="K104" s="20" t="s">
        <v>105</v>
      </c>
      <c r="L104" s="20" t="s">
        <v>105</v>
      </c>
      <c r="M104" s="20" t="s">
        <v>220</v>
      </c>
      <c r="N104" s="20"/>
    </row>
    <row r="105" spans="1:14">
      <c r="A105" s="20">
        <v>103</v>
      </c>
      <c r="B105" s="20" t="s">
        <v>1057</v>
      </c>
      <c r="C105" s="20" t="s">
        <v>69</v>
      </c>
      <c r="D105" s="20" t="s">
        <v>1058</v>
      </c>
      <c r="E105" s="27" t="s">
        <v>78</v>
      </c>
      <c r="F105" s="20" t="s">
        <v>531</v>
      </c>
      <c r="G105" s="20" t="s">
        <v>1059</v>
      </c>
      <c r="H105" s="20" t="s">
        <v>1060</v>
      </c>
      <c r="I105" s="20" t="s">
        <v>1061</v>
      </c>
      <c r="J105" s="20" t="s">
        <v>1062</v>
      </c>
      <c r="K105" s="20" t="s">
        <v>105</v>
      </c>
      <c r="L105" s="20" t="s">
        <v>105</v>
      </c>
      <c r="M105" s="20" t="s">
        <v>220</v>
      </c>
      <c r="N105" s="20"/>
    </row>
    <row r="106" spans="1:14">
      <c r="A106" s="20">
        <v>104</v>
      </c>
      <c r="B106" s="20" t="s">
        <v>1063</v>
      </c>
      <c r="C106" s="20" t="s">
        <v>69</v>
      </c>
      <c r="D106" s="20" t="s">
        <v>1064</v>
      </c>
      <c r="E106" s="27" t="s">
        <v>78</v>
      </c>
      <c r="F106" s="20" t="s">
        <v>531</v>
      </c>
      <c r="G106" s="20" t="s">
        <v>1065</v>
      </c>
      <c r="H106" s="20" t="s">
        <v>1066</v>
      </c>
      <c r="I106" s="20" t="s">
        <v>1067</v>
      </c>
      <c r="J106" s="20" t="s">
        <v>1068</v>
      </c>
      <c r="K106" s="20" t="s">
        <v>105</v>
      </c>
      <c r="L106" s="20" t="s">
        <v>105</v>
      </c>
      <c r="M106" s="20" t="s">
        <v>220</v>
      </c>
      <c r="N106" s="20"/>
    </row>
    <row r="107" spans="1:14">
      <c r="A107" s="20">
        <v>105</v>
      </c>
      <c r="B107" s="20" t="s">
        <v>1069</v>
      </c>
      <c r="C107" s="20" t="s">
        <v>69</v>
      </c>
      <c r="D107" s="20" t="s">
        <v>1070</v>
      </c>
      <c r="E107" s="27" t="s">
        <v>78</v>
      </c>
      <c r="F107" s="20" t="s">
        <v>531</v>
      </c>
      <c r="G107" s="20" t="s">
        <v>1071</v>
      </c>
      <c r="H107" s="20" t="s">
        <v>1072</v>
      </c>
      <c r="I107" s="20" t="s">
        <v>1073</v>
      </c>
      <c r="J107" s="20" t="s">
        <v>1074</v>
      </c>
      <c r="K107" s="20" t="s">
        <v>105</v>
      </c>
      <c r="L107" s="20" t="s">
        <v>105</v>
      </c>
      <c r="M107" s="20" t="s">
        <v>220</v>
      </c>
      <c r="N107" s="20"/>
    </row>
    <row r="108" spans="1:14">
      <c r="A108" s="20">
        <v>106</v>
      </c>
      <c r="B108" s="20" t="s">
        <v>1075</v>
      </c>
      <c r="C108" s="20" t="s">
        <v>69</v>
      </c>
      <c r="D108" s="20" t="s">
        <v>1076</v>
      </c>
      <c r="E108" s="27" t="s">
        <v>78</v>
      </c>
      <c r="F108" s="20" t="s">
        <v>531</v>
      </c>
      <c r="G108" s="20" t="s">
        <v>1077</v>
      </c>
      <c r="H108" s="20" t="s">
        <v>1078</v>
      </c>
      <c r="I108" s="20" t="s">
        <v>1079</v>
      </c>
      <c r="J108" s="20" t="s">
        <v>1080</v>
      </c>
      <c r="K108" s="20" t="s">
        <v>105</v>
      </c>
      <c r="L108" s="20" t="s">
        <v>105</v>
      </c>
      <c r="M108" s="20" t="s">
        <v>485</v>
      </c>
      <c r="N108" s="20"/>
    </row>
    <row r="109" spans="1:14">
      <c r="A109" s="20">
        <v>107</v>
      </c>
      <c r="B109" s="20" t="s">
        <v>1081</v>
      </c>
      <c r="C109" s="20" t="s">
        <v>69</v>
      </c>
      <c r="D109" s="20" t="s">
        <v>1082</v>
      </c>
      <c r="E109" s="27" t="s">
        <v>78</v>
      </c>
      <c r="F109" s="20" t="s">
        <v>531</v>
      </c>
      <c r="G109" s="20" t="s">
        <v>1083</v>
      </c>
      <c r="H109" s="20" t="s">
        <v>1084</v>
      </c>
      <c r="I109" s="20" t="s">
        <v>1085</v>
      </c>
      <c r="J109" s="20" t="s">
        <v>1086</v>
      </c>
      <c r="K109" s="20" t="s">
        <v>105</v>
      </c>
      <c r="L109" s="20" t="s">
        <v>105</v>
      </c>
      <c r="M109" s="20" t="s">
        <v>1087</v>
      </c>
      <c r="N109" s="20"/>
    </row>
    <row r="110" spans="1:14">
      <c r="A110" s="20">
        <v>108</v>
      </c>
      <c r="B110" s="20" t="s">
        <v>1088</v>
      </c>
      <c r="C110" s="20" t="s">
        <v>69</v>
      </c>
      <c r="D110" s="20" t="s">
        <v>1089</v>
      </c>
      <c r="E110" s="27" t="s">
        <v>78</v>
      </c>
      <c r="F110" s="20" t="s">
        <v>531</v>
      </c>
      <c r="G110" s="20" t="s">
        <v>1090</v>
      </c>
      <c r="H110" s="20" t="s">
        <v>1091</v>
      </c>
      <c r="I110" s="20" t="s">
        <v>1092</v>
      </c>
      <c r="J110" s="20" t="s">
        <v>1093</v>
      </c>
      <c r="K110" s="20" t="s">
        <v>105</v>
      </c>
      <c r="L110" s="20" t="s">
        <v>105</v>
      </c>
      <c r="M110" s="20" t="s">
        <v>485</v>
      </c>
      <c r="N110" s="20"/>
    </row>
    <row r="111" spans="1:14">
      <c r="A111" s="20">
        <v>109</v>
      </c>
      <c r="B111" s="20" t="s">
        <v>1094</v>
      </c>
      <c r="C111" s="20" t="s">
        <v>69</v>
      </c>
      <c r="D111" s="20" t="s">
        <v>1095</v>
      </c>
      <c r="E111" s="27" t="s">
        <v>78</v>
      </c>
      <c r="F111" s="20" t="s">
        <v>531</v>
      </c>
      <c r="G111" s="20" t="s">
        <v>1096</v>
      </c>
      <c r="H111" s="20" t="s">
        <v>1097</v>
      </c>
      <c r="I111" s="20" t="s">
        <v>1098</v>
      </c>
      <c r="J111" s="20" t="s">
        <v>1099</v>
      </c>
      <c r="K111" s="20" t="s">
        <v>105</v>
      </c>
      <c r="L111" s="20" t="s">
        <v>105</v>
      </c>
      <c r="M111" s="20" t="s">
        <v>1100</v>
      </c>
      <c r="N111" s="20"/>
    </row>
    <row r="112" spans="1:14">
      <c r="A112" s="20">
        <v>110</v>
      </c>
      <c r="B112" s="20" t="s">
        <v>1101</v>
      </c>
      <c r="C112" s="20" t="s">
        <v>69</v>
      </c>
      <c r="D112" s="20" t="s">
        <v>1102</v>
      </c>
      <c r="E112" s="27" t="s">
        <v>78</v>
      </c>
      <c r="F112" s="20" t="s">
        <v>531</v>
      </c>
      <c r="G112" s="20" t="s">
        <v>1103</v>
      </c>
      <c r="H112" s="20" t="s">
        <v>1104</v>
      </c>
      <c r="I112" s="20" t="s">
        <v>1105</v>
      </c>
      <c r="J112" s="20" t="s">
        <v>1106</v>
      </c>
      <c r="K112" s="20" t="s">
        <v>105</v>
      </c>
      <c r="L112" s="20" t="s">
        <v>105</v>
      </c>
      <c r="M112" s="20" t="s">
        <v>1100</v>
      </c>
      <c r="N112" s="20"/>
    </row>
    <row r="113" spans="1:14">
      <c r="A113" s="20">
        <v>111</v>
      </c>
      <c r="B113" s="20" t="s">
        <v>1107</v>
      </c>
      <c r="C113" s="20" t="s">
        <v>69</v>
      </c>
      <c r="D113" s="20" t="s">
        <v>1108</v>
      </c>
      <c r="E113" s="27" t="s">
        <v>78</v>
      </c>
      <c r="F113" s="20" t="s">
        <v>531</v>
      </c>
      <c r="G113" s="20" t="s">
        <v>1109</v>
      </c>
      <c r="H113" s="20" t="s">
        <v>1110</v>
      </c>
      <c r="I113" s="20" t="s">
        <v>1111</v>
      </c>
      <c r="J113" s="20" t="s">
        <v>1112</v>
      </c>
      <c r="K113" s="20" t="s">
        <v>105</v>
      </c>
      <c r="L113" s="20" t="s">
        <v>105</v>
      </c>
      <c r="M113" s="20" t="s">
        <v>1100</v>
      </c>
      <c r="N113" s="20"/>
    </row>
    <row r="114" spans="1:14">
      <c r="A114" s="20">
        <v>112</v>
      </c>
      <c r="B114" s="20" t="s">
        <v>1113</v>
      </c>
      <c r="C114" s="20" t="s">
        <v>69</v>
      </c>
      <c r="D114" s="20" t="s">
        <v>1114</v>
      </c>
      <c r="E114" s="27" t="s">
        <v>78</v>
      </c>
      <c r="F114" s="20" t="s">
        <v>531</v>
      </c>
      <c r="G114" s="20" t="s">
        <v>1115</v>
      </c>
      <c r="H114" s="20" t="s">
        <v>1116</v>
      </c>
      <c r="I114" s="20" t="s">
        <v>1117</v>
      </c>
      <c r="J114" s="20" t="s">
        <v>1118</v>
      </c>
      <c r="K114" s="20" t="s">
        <v>105</v>
      </c>
      <c r="L114" s="20" t="s">
        <v>105</v>
      </c>
      <c r="M114" s="20" t="s">
        <v>485</v>
      </c>
      <c r="N114" s="20"/>
    </row>
    <row r="115" spans="1:14">
      <c r="A115" s="20">
        <v>113</v>
      </c>
      <c r="B115" s="20" t="s">
        <v>1119</v>
      </c>
      <c r="C115" s="20" t="s">
        <v>69</v>
      </c>
      <c r="D115" s="20" t="s">
        <v>1120</v>
      </c>
      <c r="E115" s="27" t="s">
        <v>78</v>
      </c>
      <c r="F115" s="20" t="s">
        <v>531</v>
      </c>
      <c r="G115" s="20" t="s">
        <v>1121</v>
      </c>
      <c r="H115" s="20" t="s">
        <v>1122</v>
      </c>
      <c r="I115" s="20" t="s">
        <v>1123</v>
      </c>
      <c r="J115" s="20" t="s">
        <v>1124</v>
      </c>
      <c r="K115" s="20" t="s">
        <v>105</v>
      </c>
      <c r="L115" s="20" t="s">
        <v>105</v>
      </c>
      <c r="M115" s="20" t="s">
        <v>485</v>
      </c>
      <c r="N115" s="20"/>
    </row>
    <row r="116" spans="1:14">
      <c r="A116" s="20">
        <v>114</v>
      </c>
      <c r="B116" s="20" t="s">
        <v>680</v>
      </c>
      <c r="C116" s="20" t="s">
        <v>79</v>
      </c>
      <c r="D116" s="20" t="s">
        <v>681</v>
      </c>
      <c r="E116" s="27" t="s">
        <v>78</v>
      </c>
      <c r="F116" s="20" t="s">
        <v>531</v>
      </c>
      <c r="G116" s="20" t="s">
        <v>682</v>
      </c>
      <c r="H116" s="20" t="s">
        <v>1125</v>
      </c>
      <c r="I116" s="20" t="s">
        <v>1126</v>
      </c>
      <c r="J116" s="20" t="s">
        <v>1127</v>
      </c>
      <c r="K116" s="20" t="s">
        <v>105</v>
      </c>
      <c r="L116" s="28"/>
      <c r="M116" s="20" t="s">
        <v>348</v>
      </c>
      <c r="N116" s="20" t="s">
        <v>685</v>
      </c>
    </row>
    <row r="117" spans="1:14">
      <c r="A117" s="20">
        <v>115</v>
      </c>
      <c r="B117" s="20" t="s">
        <v>1128</v>
      </c>
      <c r="C117" s="20" t="s">
        <v>73</v>
      </c>
      <c r="D117" s="20" t="s">
        <v>1129</v>
      </c>
      <c r="E117" s="27" t="s">
        <v>78</v>
      </c>
      <c r="F117" s="20" t="s">
        <v>322</v>
      </c>
      <c r="G117" s="20" t="s">
        <v>1130</v>
      </c>
      <c r="H117" s="20" t="s">
        <v>1131</v>
      </c>
      <c r="I117" s="20" t="s">
        <v>1132</v>
      </c>
      <c r="J117" s="20" t="s">
        <v>1133</v>
      </c>
      <c r="K117" s="20" t="s">
        <v>105</v>
      </c>
      <c r="L117" s="20" t="s">
        <v>105</v>
      </c>
      <c r="M117" s="20" t="s">
        <v>459</v>
      </c>
      <c r="N117" s="20"/>
    </row>
    <row r="118" spans="1:14">
      <c r="A118" s="20">
        <v>116</v>
      </c>
      <c r="B118" s="20" t="s">
        <v>1134</v>
      </c>
      <c r="C118" s="20" t="s">
        <v>69</v>
      </c>
      <c r="D118" s="20" t="s">
        <v>1135</v>
      </c>
      <c r="E118" s="27" t="s">
        <v>78</v>
      </c>
      <c r="F118" s="20" t="s">
        <v>531</v>
      </c>
      <c r="G118" s="20" t="s">
        <v>1136</v>
      </c>
      <c r="H118" s="20" t="s">
        <v>1137</v>
      </c>
      <c r="I118" s="20" t="s">
        <v>1138</v>
      </c>
      <c r="J118" s="20" t="s">
        <v>1139</v>
      </c>
      <c r="K118" s="20" t="s">
        <v>105</v>
      </c>
      <c r="L118" s="20" t="s">
        <v>105</v>
      </c>
      <c r="M118" s="20" t="s">
        <v>1140</v>
      </c>
      <c r="N118" s="20"/>
    </row>
    <row r="119" spans="1:14">
      <c r="A119" s="20">
        <v>117</v>
      </c>
      <c r="B119" s="20" t="s">
        <v>1141</v>
      </c>
      <c r="C119" s="20" t="s">
        <v>69</v>
      </c>
      <c r="D119" s="20" t="s">
        <v>1142</v>
      </c>
      <c r="E119" s="27" t="s">
        <v>78</v>
      </c>
      <c r="F119" s="20" t="s">
        <v>531</v>
      </c>
      <c r="G119" s="20" t="s">
        <v>1143</v>
      </c>
      <c r="H119" s="20" t="s">
        <v>1144</v>
      </c>
      <c r="I119" s="20" t="s">
        <v>1145</v>
      </c>
      <c r="J119" s="20" t="s">
        <v>1146</v>
      </c>
      <c r="K119" s="20" t="s">
        <v>105</v>
      </c>
      <c r="L119" s="20" t="s">
        <v>105</v>
      </c>
      <c r="M119" s="20" t="s">
        <v>1140</v>
      </c>
      <c r="N119" s="20"/>
    </row>
    <row r="120" spans="1:14">
      <c r="A120" s="20">
        <v>118</v>
      </c>
      <c r="B120" s="20" t="s">
        <v>1147</v>
      </c>
      <c r="C120" s="20" t="s">
        <v>69</v>
      </c>
      <c r="D120" s="20" t="s">
        <v>1148</v>
      </c>
      <c r="E120" s="27" t="s">
        <v>78</v>
      </c>
      <c r="F120" s="20" t="s">
        <v>531</v>
      </c>
      <c r="G120" s="20" t="s">
        <v>1149</v>
      </c>
      <c r="H120" s="20" t="s">
        <v>1150</v>
      </c>
      <c r="I120" s="20" t="s">
        <v>1151</v>
      </c>
      <c r="J120" s="20" t="s">
        <v>1152</v>
      </c>
      <c r="K120" s="20" t="s">
        <v>105</v>
      </c>
      <c r="L120" s="20" t="s">
        <v>105</v>
      </c>
      <c r="M120" s="20" t="s">
        <v>1140</v>
      </c>
      <c r="N120" s="20"/>
    </row>
    <row r="121" spans="1:14">
      <c r="A121" s="20">
        <v>119</v>
      </c>
      <c r="B121" s="20" t="s">
        <v>1153</v>
      </c>
      <c r="C121" s="20" t="s">
        <v>69</v>
      </c>
      <c r="D121" s="20" t="s">
        <v>1154</v>
      </c>
      <c r="E121" s="27" t="s">
        <v>78</v>
      </c>
      <c r="F121" s="20" t="s">
        <v>531</v>
      </c>
      <c r="G121" s="20" t="s">
        <v>1155</v>
      </c>
      <c r="H121" s="20" t="s">
        <v>1156</v>
      </c>
      <c r="I121" s="20" t="s">
        <v>1157</v>
      </c>
      <c r="J121" s="20" t="s">
        <v>1158</v>
      </c>
      <c r="K121" s="20" t="s">
        <v>105</v>
      </c>
      <c r="L121" s="20" t="s">
        <v>105</v>
      </c>
      <c r="M121" s="20" t="s">
        <v>1140</v>
      </c>
      <c r="N121" s="20"/>
    </row>
    <row r="122" spans="1:14">
      <c r="A122" s="20">
        <v>120</v>
      </c>
      <c r="B122" s="20" t="s">
        <v>1159</v>
      </c>
      <c r="C122" s="20" t="s">
        <v>69</v>
      </c>
      <c r="D122" s="20" t="s">
        <v>1160</v>
      </c>
      <c r="E122" s="27" t="s">
        <v>78</v>
      </c>
      <c r="F122" s="20" t="s">
        <v>531</v>
      </c>
      <c r="G122" s="20" t="s">
        <v>1161</v>
      </c>
      <c r="H122" s="20" t="s">
        <v>1162</v>
      </c>
      <c r="I122" s="20" t="s">
        <v>1163</v>
      </c>
      <c r="J122" s="20" t="s">
        <v>1164</v>
      </c>
      <c r="K122" s="20" t="s">
        <v>105</v>
      </c>
      <c r="L122" s="20" t="s">
        <v>105</v>
      </c>
      <c r="M122" s="20" t="s">
        <v>1165</v>
      </c>
      <c r="N122" s="20"/>
    </row>
    <row r="123" spans="1:14">
      <c r="A123" s="20">
        <v>121</v>
      </c>
      <c r="B123" s="20" t="s">
        <v>1166</v>
      </c>
      <c r="C123" s="20" t="s">
        <v>69</v>
      </c>
      <c r="D123" s="20" t="s">
        <v>1167</v>
      </c>
      <c r="E123" s="27" t="s">
        <v>78</v>
      </c>
      <c r="F123" s="20" t="s">
        <v>531</v>
      </c>
      <c r="G123" s="20" t="s">
        <v>1168</v>
      </c>
      <c r="H123" s="20" t="s">
        <v>1169</v>
      </c>
      <c r="I123" s="20" t="s">
        <v>1170</v>
      </c>
      <c r="J123" s="20" t="s">
        <v>1171</v>
      </c>
      <c r="K123" s="20" t="s">
        <v>105</v>
      </c>
      <c r="L123" s="28"/>
      <c r="M123" s="20" t="s">
        <v>348</v>
      </c>
      <c r="N123" s="20"/>
    </row>
    <row r="124" spans="1:14">
      <c r="A124" s="20">
        <v>122</v>
      </c>
      <c r="B124" s="20" t="s">
        <v>1172</v>
      </c>
      <c r="C124" s="20" t="s">
        <v>69</v>
      </c>
      <c r="D124" s="20" t="s">
        <v>1173</v>
      </c>
      <c r="E124" s="27" t="s">
        <v>78</v>
      </c>
      <c r="F124" s="20" t="s">
        <v>531</v>
      </c>
      <c r="G124" s="20" t="s">
        <v>1174</v>
      </c>
      <c r="H124" s="20" t="s">
        <v>1175</v>
      </c>
      <c r="I124" s="20" t="s">
        <v>1176</v>
      </c>
      <c r="J124" s="20" t="s">
        <v>1177</v>
      </c>
      <c r="K124" s="20" t="s">
        <v>105</v>
      </c>
      <c r="L124" s="20" t="s">
        <v>105</v>
      </c>
      <c r="M124" s="20" t="s">
        <v>1165</v>
      </c>
      <c r="N124" s="20"/>
    </row>
    <row r="125" spans="1:14">
      <c r="A125" s="20">
        <v>123</v>
      </c>
      <c r="B125" s="20" t="s">
        <v>1178</v>
      </c>
      <c r="C125" s="20" t="s">
        <v>69</v>
      </c>
      <c r="D125" s="20" t="s">
        <v>1179</v>
      </c>
      <c r="E125" s="27" t="s">
        <v>78</v>
      </c>
      <c r="F125" s="20" t="s">
        <v>531</v>
      </c>
      <c r="G125" s="20" t="s">
        <v>1180</v>
      </c>
      <c r="H125" s="20" t="s">
        <v>1181</v>
      </c>
      <c r="I125" s="20" t="s">
        <v>1182</v>
      </c>
      <c r="J125" s="20" t="s">
        <v>1183</v>
      </c>
      <c r="K125" s="20" t="s">
        <v>105</v>
      </c>
      <c r="L125" s="28"/>
      <c r="M125" s="20" t="s">
        <v>348</v>
      </c>
      <c r="N125" s="20"/>
    </row>
    <row r="126" spans="1:14">
      <c r="A126" s="20">
        <v>124</v>
      </c>
      <c r="B126" s="20" t="s">
        <v>1184</v>
      </c>
      <c r="C126" s="20" t="s">
        <v>79</v>
      </c>
      <c r="D126" s="20" t="s">
        <v>1185</v>
      </c>
      <c r="E126" s="27" t="s">
        <v>78</v>
      </c>
      <c r="F126" s="20" t="s">
        <v>531</v>
      </c>
      <c r="G126" s="20" t="s">
        <v>1186</v>
      </c>
      <c r="H126" s="20" t="s">
        <v>1187</v>
      </c>
      <c r="I126" s="20" t="s">
        <v>1188</v>
      </c>
      <c r="J126" s="20" t="s">
        <v>1189</v>
      </c>
      <c r="K126" s="20" t="s">
        <v>105</v>
      </c>
      <c r="L126" s="28"/>
      <c r="M126" s="20" t="s">
        <v>348</v>
      </c>
      <c r="N126" s="20"/>
    </row>
    <row r="127" spans="1:14">
      <c r="A127" s="20">
        <v>125</v>
      </c>
      <c r="B127" s="20" t="s">
        <v>1190</v>
      </c>
      <c r="C127" s="20" t="s">
        <v>79</v>
      </c>
      <c r="D127" s="20" t="s">
        <v>1191</v>
      </c>
      <c r="E127" s="27" t="s">
        <v>78</v>
      </c>
      <c r="F127" s="20" t="s">
        <v>531</v>
      </c>
      <c r="G127" s="20" t="s">
        <v>1192</v>
      </c>
      <c r="H127" s="20" t="s">
        <v>1187</v>
      </c>
      <c r="I127" s="20" t="s">
        <v>1193</v>
      </c>
      <c r="J127" s="20" t="s">
        <v>1194</v>
      </c>
      <c r="K127" s="20" t="s">
        <v>105</v>
      </c>
      <c r="L127" s="28"/>
      <c r="M127" s="20" t="s">
        <v>348</v>
      </c>
      <c r="N127" s="20"/>
    </row>
    <row r="128" spans="1:14">
      <c r="A128" s="20">
        <v>126</v>
      </c>
      <c r="B128" s="20" t="s">
        <v>1195</v>
      </c>
      <c r="C128" s="20" t="s">
        <v>69</v>
      </c>
      <c r="D128" s="20" t="s">
        <v>1196</v>
      </c>
      <c r="E128" s="27" t="s">
        <v>78</v>
      </c>
      <c r="F128" s="20" t="s">
        <v>531</v>
      </c>
      <c r="G128" s="20" t="s">
        <v>1197</v>
      </c>
      <c r="H128" s="20" t="s">
        <v>1198</v>
      </c>
      <c r="I128" s="20" t="s">
        <v>1199</v>
      </c>
      <c r="J128" s="20" t="s">
        <v>1200</v>
      </c>
      <c r="K128" s="20" t="s">
        <v>105</v>
      </c>
      <c r="L128" s="20" t="s">
        <v>105</v>
      </c>
      <c r="M128" s="20" t="s">
        <v>1201</v>
      </c>
      <c r="N128" s="20"/>
    </row>
    <row r="129" spans="1:14">
      <c r="A129" s="20">
        <v>127</v>
      </c>
      <c r="B129" s="20" t="s">
        <v>1202</v>
      </c>
      <c r="C129" s="20" t="s">
        <v>69</v>
      </c>
      <c r="D129" s="20" t="s">
        <v>1203</v>
      </c>
      <c r="E129" s="27" t="s">
        <v>78</v>
      </c>
      <c r="F129" s="20" t="s">
        <v>531</v>
      </c>
      <c r="G129" s="20" t="s">
        <v>1204</v>
      </c>
      <c r="H129" s="20" t="s">
        <v>1205</v>
      </c>
      <c r="I129" s="20" t="s">
        <v>1206</v>
      </c>
      <c r="J129" s="20" t="s">
        <v>1207</v>
      </c>
      <c r="K129" s="20" t="s">
        <v>105</v>
      </c>
      <c r="L129" s="20" t="s">
        <v>105</v>
      </c>
      <c r="M129" s="20" t="s">
        <v>1201</v>
      </c>
      <c r="N129" s="20"/>
    </row>
    <row r="130" spans="1:14">
      <c r="A130" s="20">
        <v>128</v>
      </c>
      <c r="B130" s="20" t="s">
        <v>1208</v>
      </c>
      <c r="C130" s="20" t="s">
        <v>69</v>
      </c>
      <c r="D130" s="20" t="s">
        <v>1209</v>
      </c>
      <c r="E130" s="27" t="s">
        <v>78</v>
      </c>
      <c r="F130" s="20" t="s">
        <v>531</v>
      </c>
      <c r="G130" s="20" t="s">
        <v>1210</v>
      </c>
      <c r="H130" s="20" t="s">
        <v>1211</v>
      </c>
      <c r="I130" s="20" t="s">
        <v>1212</v>
      </c>
      <c r="J130" s="20" t="s">
        <v>1213</v>
      </c>
      <c r="K130" s="20" t="s">
        <v>105</v>
      </c>
      <c r="L130" s="20" t="s">
        <v>105</v>
      </c>
      <c r="M130" s="20" t="s">
        <v>1201</v>
      </c>
      <c r="N130" s="20"/>
    </row>
    <row r="131" spans="1:14">
      <c r="A131" s="20">
        <v>129</v>
      </c>
      <c r="B131" s="20" t="s">
        <v>680</v>
      </c>
      <c r="C131" s="20" t="s">
        <v>79</v>
      </c>
      <c r="D131" s="20" t="s">
        <v>681</v>
      </c>
      <c r="E131" s="27" t="s">
        <v>78</v>
      </c>
      <c r="F131" s="20" t="s">
        <v>531</v>
      </c>
      <c r="G131" s="20" t="s">
        <v>682</v>
      </c>
      <c r="H131" s="20" t="s">
        <v>1214</v>
      </c>
      <c r="I131" s="20" t="s">
        <v>1215</v>
      </c>
      <c r="J131" s="20" t="s">
        <v>1216</v>
      </c>
      <c r="K131" s="20" t="s">
        <v>105</v>
      </c>
      <c r="L131" s="28"/>
      <c r="M131" s="20" t="s">
        <v>348</v>
      </c>
      <c r="N131" s="20" t="s">
        <v>685</v>
      </c>
    </row>
    <row r="132" spans="1:14">
      <c r="A132" s="20">
        <v>130</v>
      </c>
      <c r="B132" s="20" t="s">
        <v>1217</v>
      </c>
      <c r="C132" s="20" t="s">
        <v>73</v>
      </c>
      <c r="D132" s="20" t="s">
        <v>1218</v>
      </c>
      <c r="E132" s="27" t="s">
        <v>78</v>
      </c>
      <c r="F132" s="20" t="s">
        <v>201</v>
      </c>
      <c r="G132" s="20" t="s">
        <v>1219</v>
      </c>
      <c r="H132" s="20" t="s">
        <v>1220</v>
      </c>
      <c r="I132" s="20" t="s">
        <v>1221</v>
      </c>
      <c r="J132" s="20" t="s">
        <v>1222</v>
      </c>
      <c r="K132" s="20" t="s">
        <v>105</v>
      </c>
      <c r="L132" s="20" t="s">
        <v>105</v>
      </c>
      <c r="M132" s="20" t="s">
        <v>459</v>
      </c>
      <c r="N132" s="20"/>
    </row>
    <row r="133" spans="1:14">
      <c r="A133" s="20">
        <v>131</v>
      </c>
      <c r="B133" s="20" t="s">
        <v>1223</v>
      </c>
      <c r="C133" s="20" t="s">
        <v>69</v>
      </c>
      <c r="D133" s="20" t="s">
        <v>1224</v>
      </c>
      <c r="E133" s="27" t="s">
        <v>78</v>
      </c>
      <c r="F133" s="20" t="s">
        <v>531</v>
      </c>
      <c r="G133" s="20" t="s">
        <v>1225</v>
      </c>
      <c r="H133" s="20" t="s">
        <v>1226</v>
      </c>
      <c r="I133" s="20" t="s">
        <v>1227</v>
      </c>
      <c r="J133" s="20" t="s">
        <v>1228</v>
      </c>
      <c r="K133" s="20" t="s">
        <v>105</v>
      </c>
      <c r="L133" s="20" t="s">
        <v>105</v>
      </c>
      <c r="M133" s="20" t="s">
        <v>220</v>
      </c>
      <c r="N133" s="20"/>
    </row>
    <row r="134" spans="1:14">
      <c r="A134" s="20">
        <v>132</v>
      </c>
      <c r="B134" s="20" t="s">
        <v>1229</v>
      </c>
      <c r="C134" s="20" t="s">
        <v>69</v>
      </c>
      <c r="D134" s="20" t="s">
        <v>1230</v>
      </c>
      <c r="E134" s="27" t="s">
        <v>78</v>
      </c>
      <c r="F134" s="20" t="s">
        <v>531</v>
      </c>
      <c r="G134" s="20" t="s">
        <v>1231</v>
      </c>
      <c r="H134" s="20" t="s">
        <v>1232</v>
      </c>
      <c r="I134" s="20" t="s">
        <v>1233</v>
      </c>
      <c r="J134" s="20" t="s">
        <v>1234</v>
      </c>
      <c r="K134" s="20" t="s">
        <v>105</v>
      </c>
      <c r="L134" s="20" t="s">
        <v>105</v>
      </c>
      <c r="M134" s="20" t="s">
        <v>220</v>
      </c>
      <c r="N134" s="20"/>
    </row>
    <row r="135" spans="1:14">
      <c r="A135" s="20">
        <v>133</v>
      </c>
      <c r="B135" s="20" t="s">
        <v>1235</v>
      </c>
      <c r="C135" s="20" t="s">
        <v>69</v>
      </c>
      <c r="D135" s="20" t="s">
        <v>1236</v>
      </c>
      <c r="E135" s="27" t="s">
        <v>78</v>
      </c>
      <c r="F135" s="20" t="s">
        <v>531</v>
      </c>
      <c r="G135" s="20" t="s">
        <v>1237</v>
      </c>
      <c r="H135" s="20" t="s">
        <v>1238</v>
      </c>
      <c r="I135" s="20" t="s">
        <v>1239</v>
      </c>
      <c r="J135" s="20" t="s">
        <v>1240</v>
      </c>
      <c r="K135" s="20" t="s">
        <v>105</v>
      </c>
      <c r="L135" s="20" t="s">
        <v>105</v>
      </c>
      <c r="M135" s="20" t="s">
        <v>220</v>
      </c>
      <c r="N135" s="20"/>
    </row>
    <row r="136" spans="1:14">
      <c r="A136" s="20">
        <v>134</v>
      </c>
      <c r="B136" s="20" t="s">
        <v>1241</v>
      </c>
      <c r="C136" s="20" t="s">
        <v>69</v>
      </c>
      <c r="D136" s="20" t="s">
        <v>1242</v>
      </c>
      <c r="E136" s="27" t="s">
        <v>78</v>
      </c>
      <c r="F136" s="20" t="s">
        <v>531</v>
      </c>
      <c r="G136" s="20" t="s">
        <v>1243</v>
      </c>
      <c r="H136" s="20" t="s">
        <v>1244</v>
      </c>
      <c r="I136" s="20" t="s">
        <v>1245</v>
      </c>
      <c r="J136" s="20" t="s">
        <v>1246</v>
      </c>
      <c r="K136" s="20" t="s">
        <v>105</v>
      </c>
      <c r="L136" s="20" t="s">
        <v>105</v>
      </c>
      <c r="M136" s="20" t="s">
        <v>220</v>
      </c>
      <c r="N136" s="20"/>
    </row>
    <row r="137" spans="1:14">
      <c r="A137" s="20">
        <v>135</v>
      </c>
      <c r="B137" s="20" t="s">
        <v>1247</v>
      </c>
      <c r="C137" s="20" t="s">
        <v>69</v>
      </c>
      <c r="D137" s="20" t="s">
        <v>1248</v>
      </c>
      <c r="E137" s="27" t="s">
        <v>78</v>
      </c>
      <c r="F137" s="20" t="s">
        <v>531</v>
      </c>
      <c r="G137" s="20" t="s">
        <v>1249</v>
      </c>
      <c r="H137" s="20" t="s">
        <v>1250</v>
      </c>
      <c r="I137" s="20" t="s">
        <v>1251</v>
      </c>
      <c r="J137" s="20" t="s">
        <v>1252</v>
      </c>
      <c r="K137" s="20" t="s">
        <v>105</v>
      </c>
      <c r="L137" s="20" t="s">
        <v>105</v>
      </c>
      <c r="M137" s="20" t="s">
        <v>220</v>
      </c>
      <c r="N137" s="20"/>
    </row>
    <row r="138" spans="1:14">
      <c r="A138" s="20">
        <v>136</v>
      </c>
      <c r="B138" s="20" t="s">
        <v>1253</v>
      </c>
      <c r="C138" s="20" t="s">
        <v>69</v>
      </c>
      <c r="D138" s="20" t="s">
        <v>1254</v>
      </c>
      <c r="E138" s="27" t="s">
        <v>78</v>
      </c>
      <c r="F138" s="20" t="s">
        <v>531</v>
      </c>
      <c r="G138" s="20" t="s">
        <v>1255</v>
      </c>
      <c r="H138" s="20" t="s">
        <v>1256</v>
      </c>
      <c r="I138" s="20" t="s">
        <v>1257</v>
      </c>
      <c r="J138" s="20" t="s">
        <v>1258</v>
      </c>
      <c r="K138" s="20" t="s">
        <v>105</v>
      </c>
      <c r="L138" s="20" t="s">
        <v>105</v>
      </c>
      <c r="M138" s="20" t="s">
        <v>220</v>
      </c>
      <c r="N138" s="20"/>
    </row>
    <row r="139" spans="1:14">
      <c r="A139" s="20">
        <v>137</v>
      </c>
      <c r="B139" s="20" t="s">
        <v>1259</v>
      </c>
      <c r="C139" s="20" t="s">
        <v>69</v>
      </c>
      <c r="D139" s="20" t="s">
        <v>1260</v>
      </c>
      <c r="E139" s="27" t="s">
        <v>78</v>
      </c>
      <c r="F139" s="20" t="s">
        <v>531</v>
      </c>
      <c r="G139" s="20" t="s">
        <v>1261</v>
      </c>
      <c r="H139" s="20" t="s">
        <v>1262</v>
      </c>
      <c r="I139" s="20" t="s">
        <v>1263</v>
      </c>
      <c r="J139" s="20" t="s">
        <v>1264</v>
      </c>
      <c r="K139" s="20" t="s">
        <v>105</v>
      </c>
      <c r="L139" s="20" t="s">
        <v>105</v>
      </c>
      <c r="M139" s="20" t="s">
        <v>220</v>
      </c>
      <c r="N139" s="20"/>
    </row>
    <row r="140" spans="1:14">
      <c r="A140" s="20">
        <v>138</v>
      </c>
      <c r="B140" s="20" t="s">
        <v>1265</v>
      </c>
      <c r="C140" s="20" t="s">
        <v>69</v>
      </c>
      <c r="D140" s="20" t="s">
        <v>1266</v>
      </c>
      <c r="E140" s="27" t="s">
        <v>78</v>
      </c>
      <c r="F140" s="20" t="s">
        <v>531</v>
      </c>
      <c r="G140" s="20" t="s">
        <v>1267</v>
      </c>
      <c r="H140" s="20" t="s">
        <v>1268</v>
      </c>
      <c r="I140" s="20" t="s">
        <v>1269</v>
      </c>
      <c r="J140" s="20" t="s">
        <v>1270</v>
      </c>
      <c r="K140" s="20" t="s">
        <v>105</v>
      </c>
      <c r="L140" s="20" t="s">
        <v>105</v>
      </c>
      <c r="M140" s="20" t="s">
        <v>220</v>
      </c>
      <c r="N140" s="20"/>
    </row>
    <row r="141" spans="1:14">
      <c r="A141" s="20">
        <v>139</v>
      </c>
      <c r="B141" s="20" t="s">
        <v>1271</v>
      </c>
      <c r="C141" s="20" t="s">
        <v>69</v>
      </c>
      <c r="D141" s="20" t="s">
        <v>1272</v>
      </c>
      <c r="E141" s="27" t="s">
        <v>78</v>
      </c>
      <c r="F141" s="20" t="s">
        <v>531</v>
      </c>
      <c r="G141" s="20" t="s">
        <v>1273</v>
      </c>
      <c r="H141" s="20" t="s">
        <v>1274</v>
      </c>
      <c r="I141" s="20" t="s">
        <v>1275</v>
      </c>
      <c r="J141" s="20" t="s">
        <v>1276</v>
      </c>
      <c r="K141" s="20" t="s">
        <v>105</v>
      </c>
      <c r="L141" s="20" t="s">
        <v>105</v>
      </c>
      <c r="M141" s="20" t="s">
        <v>220</v>
      </c>
      <c r="N141" s="20"/>
    </row>
    <row r="142" spans="1:14">
      <c r="A142" s="20">
        <v>140</v>
      </c>
      <c r="B142" s="20" t="s">
        <v>1277</v>
      </c>
      <c r="C142" s="20" t="s">
        <v>73</v>
      </c>
      <c r="D142" s="20" t="s">
        <v>1278</v>
      </c>
      <c r="E142" s="27" t="s">
        <v>78</v>
      </c>
      <c r="F142" s="20" t="s">
        <v>201</v>
      </c>
      <c r="G142" s="20" t="s">
        <v>1279</v>
      </c>
      <c r="H142" s="20" t="s">
        <v>1280</v>
      </c>
      <c r="I142" s="20" t="s">
        <v>1281</v>
      </c>
      <c r="J142" s="20" t="s">
        <v>1282</v>
      </c>
      <c r="K142" s="20" t="s">
        <v>105</v>
      </c>
      <c r="L142" s="20" t="s">
        <v>105</v>
      </c>
      <c r="M142" s="20" t="s">
        <v>459</v>
      </c>
      <c r="N142" s="20"/>
    </row>
    <row r="143" spans="1:14">
      <c r="A143" s="20">
        <v>141</v>
      </c>
      <c r="B143" s="20" t="s">
        <v>1283</v>
      </c>
      <c r="C143" s="20" t="s">
        <v>73</v>
      </c>
      <c r="D143" s="20" t="s">
        <v>1284</v>
      </c>
      <c r="E143" s="27" t="s">
        <v>78</v>
      </c>
      <c r="F143" s="20" t="s">
        <v>201</v>
      </c>
      <c r="G143" s="20" t="s">
        <v>1285</v>
      </c>
      <c r="H143" s="20" t="s">
        <v>1286</v>
      </c>
      <c r="I143" s="20" t="s">
        <v>1287</v>
      </c>
      <c r="J143" s="20" t="s">
        <v>1288</v>
      </c>
      <c r="K143" s="20" t="s">
        <v>105</v>
      </c>
      <c r="L143" s="20" t="s">
        <v>105</v>
      </c>
      <c r="M143" s="20" t="s">
        <v>459</v>
      </c>
      <c r="N143" s="20"/>
    </row>
    <row r="144" spans="1:14">
      <c r="A144" s="20">
        <v>142</v>
      </c>
      <c r="B144" s="20" t="s">
        <v>1289</v>
      </c>
      <c r="C144" s="20" t="s">
        <v>69</v>
      </c>
      <c r="D144" s="20" t="s">
        <v>1290</v>
      </c>
      <c r="E144" s="27" t="s">
        <v>78</v>
      </c>
      <c r="F144" s="20" t="s">
        <v>531</v>
      </c>
      <c r="G144" s="20" t="s">
        <v>1291</v>
      </c>
      <c r="H144" s="20" t="s">
        <v>1292</v>
      </c>
      <c r="I144" s="20" t="s">
        <v>1293</v>
      </c>
      <c r="J144" s="20" t="s">
        <v>1294</v>
      </c>
      <c r="K144" s="20" t="s">
        <v>105</v>
      </c>
      <c r="L144" s="20" t="s">
        <v>105</v>
      </c>
      <c r="M144" s="20" t="s">
        <v>1295</v>
      </c>
      <c r="N144" s="20"/>
    </row>
    <row r="145" spans="1:14">
      <c r="A145" s="20">
        <v>143</v>
      </c>
      <c r="B145" s="20" t="s">
        <v>1296</v>
      </c>
      <c r="C145" s="20" t="s">
        <v>69</v>
      </c>
      <c r="D145" s="20" t="s">
        <v>1297</v>
      </c>
      <c r="E145" s="27" t="s">
        <v>78</v>
      </c>
      <c r="F145" s="20" t="s">
        <v>531</v>
      </c>
      <c r="G145" s="20" t="s">
        <v>1298</v>
      </c>
      <c r="H145" s="20" t="s">
        <v>1299</v>
      </c>
      <c r="I145" s="20" t="s">
        <v>1300</v>
      </c>
      <c r="J145" s="20" t="s">
        <v>1301</v>
      </c>
      <c r="K145" s="20" t="s">
        <v>105</v>
      </c>
      <c r="L145" s="20" t="s">
        <v>105</v>
      </c>
      <c r="M145" s="20" t="s">
        <v>1295</v>
      </c>
      <c r="N145" s="20"/>
    </row>
    <row r="146" spans="1:14">
      <c r="A146" s="20">
        <v>144</v>
      </c>
      <c r="B146" s="20" t="s">
        <v>680</v>
      </c>
      <c r="C146" s="20" t="s">
        <v>79</v>
      </c>
      <c r="D146" s="20" t="s">
        <v>681</v>
      </c>
      <c r="E146" s="27" t="s">
        <v>78</v>
      </c>
      <c r="F146" s="20" t="s">
        <v>531</v>
      </c>
      <c r="G146" s="20" t="s">
        <v>682</v>
      </c>
      <c r="H146" s="20" t="s">
        <v>1302</v>
      </c>
      <c r="I146" s="20" t="s">
        <v>1303</v>
      </c>
      <c r="J146" s="20" t="s">
        <v>1304</v>
      </c>
      <c r="K146" s="20" t="s">
        <v>105</v>
      </c>
      <c r="L146" s="28"/>
      <c r="M146" s="20" t="s">
        <v>348</v>
      </c>
      <c r="N146" s="20" t="s">
        <v>685</v>
      </c>
    </row>
    <row r="147" spans="1:14">
      <c r="A147" s="20">
        <v>145</v>
      </c>
      <c r="B147" s="20" t="s">
        <v>1305</v>
      </c>
      <c r="C147" s="20" t="s">
        <v>77</v>
      </c>
      <c r="D147" s="20" t="s">
        <v>1306</v>
      </c>
      <c r="E147" s="27" t="s">
        <v>78</v>
      </c>
      <c r="F147" s="20" t="s">
        <v>201</v>
      </c>
      <c r="G147" s="20" t="s">
        <v>1307</v>
      </c>
      <c r="H147" s="20" t="s">
        <v>1308</v>
      </c>
      <c r="I147" s="20" t="s">
        <v>1309</v>
      </c>
      <c r="J147" s="20" t="s">
        <v>1310</v>
      </c>
      <c r="K147" s="20" t="s">
        <v>105</v>
      </c>
      <c r="L147" s="20" t="s">
        <v>105</v>
      </c>
      <c r="M147" s="20" t="s">
        <v>930</v>
      </c>
      <c r="N147" s="20"/>
    </row>
    <row r="148" spans="1:14">
      <c r="A148" s="20">
        <v>146</v>
      </c>
      <c r="B148" s="20" t="s">
        <v>1311</v>
      </c>
      <c r="C148" s="20" t="s">
        <v>77</v>
      </c>
      <c r="D148" s="20" t="s">
        <v>1312</v>
      </c>
      <c r="E148" s="27" t="s">
        <v>78</v>
      </c>
      <c r="F148" s="20" t="s">
        <v>201</v>
      </c>
      <c r="G148" s="20" t="s">
        <v>1313</v>
      </c>
      <c r="H148" s="20" t="s">
        <v>1314</v>
      </c>
      <c r="I148" s="20" t="s">
        <v>1315</v>
      </c>
      <c r="J148" s="20" t="s">
        <v>1316</v>
      </c>
      <c r="K148" s="20" t="s">
        <v>105</v>
      </c>
      <c r="L148" s="20" t="s">
        <v>105</v>
      </c>
      <c r="M148" s="20" t="s">
        <v>930</v>
      </c>
      <c r="N148" s="20"/>
    </row>
    <row r="149" spans="1:14">
      <c r="A149" s="20">
        <v>147</v>
      </c>
      <c r="B149" s="20" t="s">
        <v>1317</v>
      </c>
      <c r="C149" s="20" t="s">
        <v>77</v>
      </c>
      <c r="D149" s="20" t="s">
        <v>1318</v>
      </c>
      <c r="E149" s="27" t="s">
        <v>78</v>
      </c>
      <c r="F149" s="20" t="s">
        <v>201</v>
      </c>
      <c r="G149" s="20" t="s">
        <v>1319</v>
      </c>
      <c r="H149" s="20" t="s">
        <v>1320</v>
      </c>
      <c r="I149" s="20" t="s">
        <v>1321</v>
      </c>
      <c r="J149" s="20" t="s">
        <v>1322</v>
      </c>
      <c r="K149" s="20" t="s">
        <v>105</v>
      </c>
      <c r="L149" s="20" t="s">
        <v>105</v>
      </c>
      <c r="M149" s="20" t="s">
        <v>930</v>
      </c>
      <c r="N149" s="20"/>
    </row>
    <row r="150" spans="1:14">
      <c r="A150" s="20">
        <v>148</v>
      </c>
      <c r="B150" s="20" t="s">
        <v>1323</v>
      </c>
      <c r="C150" s="20" t="s">
        <v>77</v>
      </c>
      <c r="D150" s="20" t="s">
        <v>1324</v>
      </c>
      <c r="E150" s="27" t="s">
        <v>78</v>
      </c>
      <c r="F150" s="20" t="s">
        <v>201</v>
      </c>
      <c r="G150" s="20" t="s">
        <v>1325</v>
      </c>
      <c r="H150" s="20" t="s">
        <v>1326</v>
      </c>
      <c r="I150" s="20" t="s">
        <v>1327</v>
      </c>
      <c r="J150" s="20" t="s">
        <v>1328</v>
      </c>
      <c r="K150" s="20" t="s">
        <v>105</v>
      </c>
      <c r="L150" s="20" t="s">
        <v>105</v>
      </c>
      <c r="M150" s="20" t="s">
        <v>930</v>
      </c>
      <c r="N150" s="20"/>
    </row>
    <row r="151" spans="1:14">
      <c r="A151" s="20">
        <v>149</v>
      </c>
      <c r="B151" s="20" t="s">
        <v>1329</v>
      </c>
      <c r="C151" s="20" t="s">
        <v>77</v>
      </c>
      <c r="D151" s="20" t="s">
        <v>1330</v>
      </c>
      <c r="E151" s="27" t="s">
        <v>78</v>
      </c>
      <c r="F151" s="20" t="s">
        <v>201</v>
      </c>
      <c r="G151" s="20" t="s">
        <v>1331</v>
      </c>
      <c r="H151" s="20" t="s">
        <v>1332</v>
      </c>
      <c r="I151" s="20" t="s">
        <v>1333</v>
      </c>
      <c r="J151" s="20" t="s">
        <v>1334</v>
      </c>
      <c r="K151" s="20" t="s">
        <v>105</v>
      </c>
      <c r="L151" s="20" t="s">
        <v>105</v>
      </c>
      <c r="M151" s="20" t="s">
        <v>930</v>
      </c>
      <c r="N151" s="20"/>
    </row>
    <row r="152" spans="1:14">
      <c r="A152" s="20">
        <v>150</v>
      </c>
      <c r="B152" s="20" t="s">
        <v>1335</v>
      </c>
      <c r="C152" s="20" t="s">
        <v>77</v>
      </c>
      <c r="D152" s="20" t="s">
        <v>1336</v>
      </c>
      <c r="E152" s="27" t="s">
        <v>78</v>
      </c>
      <c r="F152" s="20" t="s">
        <v>201</v>
      </c>
      <c r="G152" s="20" t="s">
        <v>1337</v>
      </c>
      <c r="H152" s="20" t="s">
        <v>1338</v>
      </c>
      <c r="I152" s="20" t="s">
        <v>1339</v>
      </c>
      <c r="J152" s="20" t="s">
        <v>1340</v>
      </c>
      <c r="K152" s="20" t="s">
        <v>105</v>
      </c>
      <c r="L152" s="20" t="s">
        <v>105</v>
      </c>
      <c r="M152" s="20" t="s">
        <v>930</v>
      </c>
      <c r="N152" s="20"/>
    </row>
    <row r="153" spans="1:14">
      <c r="A153" s="20">
        <v>151</v>
      </c>
      <c r="B153" s="20" t="s">
        <v>1341</v>
      </c>
      <c r="C153" s="20" t="s">
        <v>77</v>
      </c>
      <c r="D153" s="20" t="s">
        <v>1342</v>
      </c>
      <c r="E153" s="27" t="s">
        <v>78</v>
      </c>
      <c r="F153" s="20" t="s">
        <v>201</v>
      </c>
      <c r="G153" s="20" t="s">
        <v>1343</v>
      </c>
      <c r="H153" s="20" t="s">
        <v>1344</v>
      </c>
      <c r="I153" s="20" t="s">
        <v>1345</v>
      </c>
      <c r="J153" s="20" t="s">
        <v>1346</v>
      </c>
      <c r="K153" s="20" t="s">
        <v>105</v>
      </c>
      <c r="L153" s="20" t="s">
        <v>105</v>
      </c>
      <c r="M153" s="20" t="s">
        <v>930</v>
      </c>
      <c r="N153" s="20"/>
    </row>
    <row r="154" spans="1:14">
      <c r="A154" s="20">
        <v>152</v>
      </c>
      <c r="B154" s="20" t="s">
        <v>1347</v>
      </c>
      <c r="C154" s="20" t="s">
        <v>77</v>
      </c>
      <c r="D154" s="20" t="s">
        <v>1348</v>
      </c>
      <c r="E154" s="27" t="s">
        <v>78</v>
      </c>
      <c r="F154" s="20" t="s">
        <v>201</v>
      </c>
      <c r="G154" s="20" t="s">
        <v>1349</v>
      </c>
      <c r="H154" s="20" t="s">
        <v>1350</v>
      </c>
      <c r="I154" s="20" t="s">
        <v>1351</v>
      </c>
      <c r="J154" s="20" t="s">
        <v>1352</v>
      </c>
      <c r="K154" s="20" t="s">
        <v>105</v>
      </c>
      <c r="L154" s="20" t="s">
        <v>105</v>
      </c>
      <c r="M154" s="20" t="s">
        <v>930</v>
      </c>
      <c r="N154" s="20"/>
    </row>
    <row r="155" spans="1:14">
      <c r="A155" s="20">
        <v>153</v>
      </c>
      <c r="B155" s="20" t="s">
        <v>1353</v>
      </c>
      <c r="C155" s="20" t="s">
        <v>77</v>
      </c>
      <c r="D155" s="20" t="s">
        <v>1354</v>
      </c>
      <c r="E155" s="27" t="s">
        <v>78</v>
      </c>
      <c r="F155" s="20" t="s">
        <v>201</v>
      </c>
      <c r="G155" s="20" t="s">
        <v>1355</v>
      </c>
      <c r="H155" s="20" t="s">
        <v>1356</v>
      </c>
      <c r="I155" s="20" t="s">
        <v>1357</v>
      </c>
      <c r="J155" s="20" t="s">
        <v>1358</v>
      </c>
      <c r="K155" s="20" t="s">
        <v>105</v>
      </c>
      <c r="L155" s="20" t="s">
        <v>105</v>
      </c>
      <c r="M155" s="20" t="s">
        <v>930</v>
      </c>
      <c r="N155" s="20"/>
    </row>
    <row r="156" spans="1:14">
      <c r="A156" s="20">
        <v>154</v>
      </c>
      <c r="B156" s="20" t="s">
        <v>1359</v>
      </c>
      <c r="C156" s="20" t="s">
        <v>77</v>
      </c>
      <c r="D156" s="20" t="s">
        <v>1360</v>
      </c>
      <c r="E156" s="27" t="s">
        <v>78</v>
      </c>
      <c r="F156" s="20" t="s">
        <v>201</v>
      </c>
      <c r="G156" s="20" t="s">
        <v>1361</v>
      </c>
      <c r="H156" s="20" t="s">
        <v>1362</v>
      </c>
      <c r="I156" s="20" t="s">
        <v>1363</v>
      </c>
      <c r="J156" s="20" t="s">
        <v>1364</v>
      </c>
      <c r="K156" s="20" t="s">
        <v>105</v>
      </c>
      <c r="L156" s="20" t="s">
        <v>105</v>
      </c>
      <c r="M156" s="20" t="s">
        <v>930</v>
      </c>
      <c r="N156" s="20"/>
    </row>
    <row r="157" spans="1:14">
      <c r="A157" s="20">
        <v>155</v>
      </c>
      <c r="B157" s="20" t="s">
        <v>1365</v>
      </c>
      <c r="C157" s="20" t="s">
        <v>77</v>
      </c>
      <c r="D157" s="20" t="s">
        <v>1366</v>
      </c>
      <c r="E157" s="27" t="s">
        <v>78</v>
      </c>
      <c r="F157" s="20" t="s">
        <v>201</v>
      </c>
      <c r="G157" s="20" t="s">
        <v>1367</v>
      </c>
      <c r="H157" s="20" t="s">
        <v>1368</v>
      </c>
      <c r="I157" s="20" t="s">
        <v>1369</v>
      </c>
      <c r="J157" s="20" t="s">
        <v>1370</v>
      </c>
      <c r="K157" s="20" t="s">
        <v>105</v>
      </c>
      <c r="L157" s="20" t="s">
        <v>105</v>
      </c>
      <c r="M157" s="20" t="s">
        <v>930</v>
      </c>
      <c r="N157" s="20"/>
    </row>
    <row r="158" spans="1:14">
      <c r="A158" s="20">
        <v>156</v>
      </c>
      <c r="B158" s="20" t="s">
        <v>1371</v>
      </c>
      <c r="C158" s="20" t="s">
        <v>77</v>
      </c>
      <c r="D158" s="20" t="s">
        <v>1372</v>
      </c>
      <c r="E158" s="27" t="s">
        <v>78</v>
      </c>
      <c r="F158" s="20" t="s">
        <v>201</v>
      </c>
      <c r="G158" s="20" t="s">
        <v>1373</v>
      </c>
      <c r="H158" s="20" t="s">
        <v>1374</v>
      </c>
      <c r="I158" s="20" t="s">
        <v>1375</v>
      </c>
      <c r="J158" s="20" t="s">
        <v>1376</v>
      </c>
      <c r="K158" s="20" t="s">
        <v>105</v>
      </c>
      <c r="L158" s="20" t="s">
        <v>105</v>
      </c>
      <c r="M158" s="20" t="s">
        <v>930</v>
      </c>
      <c r="N158" s="20"/>
    </row>
    <row r="159" spans="1:14">
      <c r="A159" s="20">
        <v>157</v>
      </c>
      <c r="B159" s="20" t="s">
        <v>1377</v>
      </c>
      <c r="C159" s="20" t="s">
        <v>75</v>
      </c>
      <c r="D159" s="20" t="s">
        <v>1378</v>
      </c>
      <c r="E159" s="27" t="s">
        <v>78</v>
      </c>
      <c r="F159" s="20" t="s">
        <v>201</v>
      </c>
      <c r="G159" s="20" t="s">
        <v>1379</v>
      </c>
      <c r="H159" s="20" t="s">
        <v>1380</v>
      </c>
      <c r="I159" s="20" t="s">
        <v>1381</v>
      </c>
      <c r="J159" s="20" t="s">
        <v>1382</v>
      </c>
      <c r="K159" s="20" t="s">
        <v>105</v>
      </c>
      <c r="L159" s="20" t="s">
        <v>105</v>
      </c>
      <c r="M159" s="20" t="s">
        <v>930</v>
      </c>
      <c r="N159" s="20"/>
    </row>
    <row r="160" spans="1:14">
      <c r="A160" s="20">
        <v>158</v>
      </c>
      <c r="B160" s="20" t="s">
        <v>1383</v>
      </c>
      <c r="C160" s="20" t="s">
        <v>75</v>
      </c>
      <c r="D160" s="20" t="s">
        <v>1384</v>
      </c>
      <c r="E160" s="27" t="s">
        <v>78</v>
      </c>
      <c r="F160" s="20" t="s">
        <v>201</v>
      </c>
      <c r="G160" s="20" t="s">
        <v>1385</v>
      </c>
      <c r="H160" s="20" t="s">
        <v>1386</v>
      </c>
      <c r="I160" s="20" t="s">
        <v>1387</v>
      </c>
      <c r="J160" s="20" t="s">
        <v>1388</v>
      </c>
      <c r="K160" s="20" t="s">
        <v>105</v>
      </c>
      <c r="L160" s="20" t="s">
        <v>105</v>
      </c>
      <c r="M160" s="20" t="s">
        <v>930</v>
      </c>
      <c r="N160" s="20"/>
    </row>
    <row r="161" spans="1:14">
      <c r="A161" s="20">
        <v>159</v>
      </c>
      <c r="B161" s="20" t="s">
        <v>1389</v>
      </c>
      <c r="C161" s="20" t="s">
        <v>75</v>
      </c>
      <c r="D161" s="20" t="s">
        <v>1390</v>
      </c>
      <c r="E161" s="27" t="s">
        <v>78</v>
      </c>
      <c r="F161" s="20" t="s">
        <v>201</v>
      </c>
      <c r="G161" s="20" t="s">
        <v>1391</v>
      </c>
      <c r="H161" s="20" t="s">
        <v>1392</v>
      </c>
      <c r="I161" s="20" t="s">
        <v>1393</v>
      </c>
      <c r="J161" s="20" t="s">
        <v>1394</v>
      </c>
      <c r="K161" s="20" t="s">
        <v>105</v>
      </c>
      <c r="L161" s="20" t="s">
        <v>105</v>
      </c>
      <c r="M161" s="20" t="s">
        <v>930</v>
      </c>
      <c r="N161" s="20"/>
    </row>
    <row r="162" spans="1:14">
      <c r="A162" s="20">
        <v>160</v>
      </c>
      <c r="B162" s="20" t="s">
        <v>1395</v>
      </c>
      <c r="C162" s="20" t="s">
        <v>75</v>
      </c>
      <c r="D162" s="20" t="s">
        <v>1396</v>
      </c>
      <c r="E162" s="27" t="s">
        <v>78</v>
      </c>
      <c r="F162" s="20" t="s">
        <v>201</v>
      </c>
      <c r="G162" s="20" t="s">
        <v>1397</v>
      </c>
      <c r="H162" s="20" t="s">
        <v>1398</v>
      </c>
      <c r="I162" s="20" t="s">
        <v>1399</v>
      </c>
      <c r="J162" s="20" t="s">
        <v>1400</v>
      </c>
      <c r="K162" s="20" t="s">
        <v>105</v>
      </c>
      <c r="L162" s="20" t="s">
        <v>105</v>
      </c>
      <c r="M162" s="20" t="s">
        <v>930</v>
      </c>
      <c r="N162" s="20"/>
    </row>
    <row r="163" spans="1:14">
      <c r="A163" s="20">
        <v>161</v>
      </c>
      <c r="B163" s="20" t="s">
        <v>1401</v>
      </c>
      <c r="C163" s="20" t="s">
        <v>75</v>
      </c>
      <c r="D163" s="20" t="s">
        <v>1402</v>
      </c>
      <c r="E163" s="27" t="s">
        <v>78</v>
      </c>
      <c r="F163" s="20" t="s">
        <v>201</v>
      </c>
      <c r="G163" s="20" t="s">
        <v>1403</v>
      </c>
      <c r="H163" s="20" t="s">
        <v>1404</v>
      </c>
      <c r="I163" s="20" t="s">
        <v>1405</v>
      </c>
      <c r="J163" s="20" t="s">
        <v>1406</v>
      </c>
      <c r="K163" s="20" t="s">
        <v>105</v>
      </c>
      <c r="L163" s="20" t="s">
        <v>105</v>
      </c>
      <c r="M163" s="20" t="s">
        <v>930</v>
      </c>
      <c r="N163" s="20"/>
    </row>
    <row r="164" spans="1:14">
      <c r="A164" s="20">
        <v>162</v>
      </c>
      <c r="B164" s="20" t="s">
        <v>1407</v>
      </c>
      <c r="C164" s="20" t="s">
        <v>75</v>
      </c>
      <c r="D164" s="20" t="s">
        <v>1408</v>
      </c>
      <c r="E164" s="27" t="s">
        <v>78</v>
      </c>
      <c r="F164" s="20" t="s">
        <v>201</v>
      </c>
      <c r="G164" s="20" t="s">
        <v>1409</v>
      </c>
      <c r="H164" s="20" t="s">
        <v>1410</v>
      </c>
      <c r="I164" s="20" t="s">
        <v>1411</v>
      </c>
      <c r="J164" s="20" t="s">
        <v>1412</v>
      </c>
      <c r="K164" s="20" t="s">
        <v>105</v>
      </c>
      <c r="L164" s="20" t="s">
        <v>105</v>
      </c>
      <c r="M164" s="20" t="s">
        <v>930</v>
      </c>
      <c r="N164" s="20"/>
    </row>
    <row r="165" spans="1:14">
      <c r="A165" s="20">
        <v>163</v>
      </c>
      <c r="B165" s="20" t="s">
        <v>1413</v>
      </c>
      <c r="C165" s="20" t="s">
        <v>75</v>
      </c>
      <c r="D165" s="20" t="s">
        <v>1414</v>
      </c>
      <c r="E165" s="27" t="s">
        <v>78</v>
      </c>
      <c r="F165" s="20" t="s">
        <v>201</v>
      </c>
      <c r="G165" s="20" t="s">
        <v>1415</v>
      </c>
      <c r="H165" s="20" t="s">
        <v>1416</v>
      </c>
      <c r="I165" s="20" t="s">
        <v>1417</v>
      </c>
      <c r="J165" s="20" t="s">
        <v>1418</v>
      </c>
      <c r="K165" s="20" t="s">
        <v>105</v>
      </c>
      <c r="L165" s="20" t="s">
        <v>105</v>
      </c>
      <c r="M165" s="20" t="s">
        <v>930</v>
      </c>
      <c r="N165" s="20"/>
    </row>
    <row r="166" spans="1:14">
      <c r="A166" s="20">
        <v>164</v>
      </c>
      <c r="B166" s="20" t="s">
        <v>1419</v>
      </c>
      <c r="C166" s="20" t="s">
        <v>75</v>
      </c>
      <c r="D166" s="20" t="s">
        <v>1420</v>
      </c>
      <c r="E166" s="27" t="s">
        <v>78</v>
      </c>
      <c r="F166" s="20" t="s">
        <v>201</v>
      </c>
      <c r="G166" s="20" t="s">
        <v>1421</v>
      </c>
      <c r="H166" s="20" t="s">
        <v>1422</v>
      </c>
      <c r="I166" s="20" t="s">
        <v>1423</v>
      </c>
      <c r="J166" s="20" t="s">
        <v>1424</v>
      </c>
      <c r="K166" s="20" t="s">
        <v>105</v>
      </c>
      <c r="L166" s="20" t="s">
        <v>105</v>
      </c>
      <c r="M166" s="20" t="s">
        <v>930</v>
      </c>
      <c r="N166" s="20"/>
    </row>
    <row r="167" spans="1:14">
      <c r="A167" s="20">
        <v>165</v>
      </c>
      <c r="B167" s="20" t="s">
        <v>1425</v>
      </c>
      <c r="C167" s="20" t="s">
        <v>71</v>
      </c>
      <c r="D167" s="20" t="s">
        <v>1426</v>
      </c>
      <c r="E167" s="27" t="s">
        <v>78</v>
      </c>
      <c r="F167" s="20" t="s">
        <v>201</v>
      </c>
      <c r="G167" s="20" t="s">
        <v>1427</v>
      </c>
      <c r="H167" s="20" t="s">
        <v>1428</v>
      </c>
      <c r="I167" s="20" t="s">
        <v>1429</v>
      </c>
      <c r="J167" s="20" t="s">
        <v>1430</v>
      </c>
      <c r="K167" s="20" t="s">
        <v>105</v>
      </c>
      <c r="L167" s="20" t="s">
        <v>105</v>
      </c>
      <c r="M167" s="20" t="s">
        <v>930</v>
      </c>
      <c r="N167" s="20"/>
    </row>
    <row r="168" spans="1:14">
      <c r="A168" s="20">
        <v>166</v>
      </c>
      <c r="B168" s="20" t="s">
        <v>1431</v>
      </c>
      <c r="C168" s="20" t="s">
        <v>71</v>
      </c>
      <c r="D168" s="20" t="s">
        <v>1432</v>
      </c>
      <c r="E168" s="27" t="s">
        <v>78</v>
      </c>
      <c r="F168" s="20" t="s">
        <v>201</v>
      </c>
      <c r="G168" s="20" t="s">
        <v>1433</v>
      </c>
      <c r="H168" s="20" t="s">
        <v>1434</v>
      </c>
      <c r="I168" s="20" t="s">
        <v>1435</v>
      </c>
      <c r="J168" s="20" t="s">
        <v>1436</v>
      </c>
      <c r="K168" s="20" t="s">
        <v>105</v>
      </c>
      <c r="L168" s="20" t="s">
        <v>105</v>
      </c>
      <c r="M168" s="20" t="s">
        <v>930</v>
      </c>
      <c r="N168" s="20"/>
    </row>
    <row r="169" spans="1:14">
      <c r="A169" s="20">
        <v>167</v>
      </c>
      <c r="B169" s="20" t="s">
        <v>1437</v>
      </c>
      <c r="C169" s="20" t="s">
        <v>69</v>
      </c>
      <c r="D169" s="20" t="s">
        <v>1438</v>
      </c>
      <c r="E169" s="27" t="s">
        <v>78</v>
      </c>
      <c r="F169" s="20" t="s">
        <v>531</v>
      </c>
      <c r="G169" s="20" t="s">
        <v>1439</v>
      </c>
      <c r="H169" s="20" t="s">
        <v>1440</v>
      </c>
      <c r="I169" s="20" t="s">
        <v>1441</v>
      </c>
      <c r="J169" s="20" t="s">
        <v>1442</v>
      </c>
      <c r="K169" s="20" t="s">
        <v>105</v>
      </c>
      <c r="L169" s="20" t="s">
        <v>105</v>
      </c>
      <c r="M169" s="20" t="s">
        <v>1443</v>
      </c>
      <c r="N169" s="20"/>
    </row>
    <row r="170" spans="1:14">
      <c r="A170" s="20">
        <v>168</v>
      </c>
      <c r="B170" s="20" t="s">
        <v>1444</v>
      </c>
      <c r="C170" s="20" t="s">
        <v>69</v>
      </c>
      <c r="D170" s="20" t="s">
        <v>1445</v>
      </c>
      <c r="E170" s="27" t="s">
        <v>78</v>
      </c>
      <c r="F170" s="20" t="s">
        <v>531</v>
      </c>
      <c r="G170" s="20" t="s">
        <v>1446</v>
      </c>
      <c r="H170" s="20" t="s">
        <v>1447</v>
      </c>
      <c r="I170" s="20" t="s">
        <v>1448</v>
      </c>
      <c r="J170" s="20" t="s">
        <v>1449</v>
      </c>
      <c r="K170" s="20" t="s">
        <v>105</v>
      </c>
      <c r="L170" s="20" t="s">
        <v>105</v>
      </c>
      <c r="M170" s="20" t="s">
        <v>1443</v>
      </c>
      <c r="N170" s="20"/>
    </row>
    <row r="171" spans="1:14">
      <c r="A171" s="20">
        <v>169</v>
      </c>
      <c r="B171" s="20" t="s">
        <v>1450</v>
      </c>
      <c r="C171" s="20" t="s">
        <v>81</v>
      </c>
      <c r="D171" s="20" t="s">
        <v>1451</v>
      </c>
      <c r="E171" s="27" t="s">
        <v>78</v>
      </c>
      <c r="F171" s="20" t="s">
        <v>531</v>
      </c>
      <c r="G171" s="20" t="s">
        <v>1452</v>
      </c>
      <c r="H171" s="20" t="s">
        <v>1453</v>
      </c>
      <c r="I171" s="20" t="s">
        <v>1454</v>
      </c>
      <c r="J171" s="20" t="s">
        <v>1455</v>
      </c>
      <c r="K171" s="20" t="s">
        <v>105</v>
      </c>
      <c r="L171" s="20" t="s">
        <v>105</v>
      </c>
      <c r="M171" s="20" t="s">
        <v>1456</v>
      </c>
      <c r="N171" s="20"/>
    </row>
    <row r="172" spans="1:14">
      <c r="A172" s="20">
        <v>170</v>
      </c>
      <c r="B172" s="20" t="s">
        <v>1457</v>
      </c>
      <c r="C172" s="20" t="s">
        <v>81</v>
      </c>
      <c r="D172" s="20" t="s">
        <v>1458</v>
      </c>
      <c r="E172" s="27" t="s">
        <v>78</v>
      </c>
      <c r="F172" s="20" t="s">
        <v>531</v>
      </c>
      <c r="G172" s="20" t="s">
        <v>1459</v>
      </c>
      <c r="H172" s="20" t="s">
        <v>1460</v>
      </c>
      <c r="I172" s="20" t="s">
        <v>1461</v>
      </c>
      <c r="J172" s="20" t="s">
        <v>1462</v>
      </c>
      <c r="K172" s="20" t="s">
        <v>105</v>
      </c>
      <c r="L172" s="20" t="s">
        <v>105</v>
      </c>
      <c r="M172" s="20" t="s">
        <v>1456</v>
      </c>
      <c r="N172" s="20"/>
    </row>
    <row r="173" spans="1:14">
      <c r="A173" s="20">
        <v>171</v>
      </c>
      <c r="B173" s="20" t="s">
        <v>1463</v>
      </c>
      <c r="C173" s="20" t="s">
        <v>69</v>
      </c>
      <c r="D173" s="20" t="s">
        <v>1464</v>
      </c>
      <c r="E173" s="27" t="s">
        <v>78</v>
      </c>
      <c r="F173" s="20" t="s">
        <v>531</v>
      </c>
      <c r="G173" s="20" t="s">
        <v>1465</v>
      </c>
      <c r="H173" s="20" t="s">
        <v>1466</v>
      </c>
      <c r="I173" s="20" t="s">
        <v>1467</v>
      </c>
      <c r="J173" s="20" t="s">
        <v>1468</v>
      </c>
      <c r="K173" s="20" t="s">
        <v>105</v>
      </c>
      <c r="L173" s="20" t="s">
        <v>105</v>
      </c>
      <c r="M173" s="20" t="s">
        <v>1469</v>
      </c>
      <c r="N173" s="20"/>
    </row>
    <row r="174" spans="1:14">
      <c r="A174" s="20">
        <v>172</v>
      </c>
      <c r="B174" s="20" t="s">
        <v>1470</v>
      </c>
      <c r="C174" s="20" t="s">
        <v>69</v>
      </c>
      <c r="D174" s="20" t="s">
        <v>1471</v>
      </c>
      <c r="E174" s="27" t="s">
        <v>78</v>
      </c>
      <c r="F174" s="20" t="s">
        <v>531</v>
      </c>
      <c r="G174" s="20" t="s">
        <v>1472</v>
      </c>
      <c r="H174" s="20" t="s">
        <v>1473</v>
      </c>
      <c r="I174" s="20" t="s">
        <v>1474</v>
      </c>
      <c r="J174" s="20" t="s">
        <v>1475</v>
      </c>
      <c r="K174" s="20" t="s">
        <v>105</v>
      </c>
      <c r="L174" s="20" t="s">
        <v>105</v>
      </c>
      <c r="M174" s="20" t="s">
        <v>1469</v>
      </c>
      <c r="N174" s="20"/>
    </row>
    <row r="175" spans="1:14">
      <c r="A175" s="20">
        <v>173</v>
      </c>
      <c r="B175" s="20" t="s">
        <v>1476</v>
      </c>
      <c r="C175" s="20" t="s">
        <v>69</v>
      </c>
      <c r="D175" s="20" t="s">
        <v>1477</v>
      </c>
      <c r="E175" s="27" t="s">
        <v>78</v>
      </c>
      <c r="F175" s="20" t="s">
        <v>531</v>
      </c>
      <c r="G175" s="20" t="s">
        <v>1478</v>
      </c>
      <c r="H175" s="20" t="s">
        <v>1479</v>
      </c>
      <c r="I175" s="20" t="s">
        <v>1480</v>
      </c>
      <c r="J175" s="20" t="s">
        <v>1481</v>
      </c>
      <c r="K175" s="20" t="s">
        <v>105</v>
      </c>
      <c r="L175" s="20" t="s">
        <v>105</v>
      </c>
      <c r="M175" s="20" t="s">
        <v>1482</v>
      </c>
      <c r="N175" s="20"/>
    </row>
    <row r="176" spans="1:14">
      <c r="A176" s="20">
        <v>174</v>
      </c>
      <c r="B176" s="20" t="s">
        <v>1483</v>
      </c>
      <c r="C176" s="20" t="s">
        <v>69</v>
      </c>
      <c r="D176" s="20" t="s">
        <v>1484</v>
      </c>
      <c r="E176" s="27" t="s">
        <v>78</v>
      </c>
      <c r="F176" s="20" t="s">
        <v>531</v>
      </c>
      <c r="G176" s="20" t="s">
        <v>1485</v>
      </c>
      <c r="H176" s="20" t="s">
        <v>1486</v>
      </c>
      <c r="I176" s="20" t="s">
        <v>1487</v>
      </c>
      <c r="J176" s="20" t="s">
        <v>1488</v>
      </c>
      <c r="K176" s="20" t="s">
        <v>105</v>
      </c>
      <c r="L176" s="20" t="s">
        <v>105</v>
      </c>
      <c r="M176" s="20" t="s">
        <v>1482</v>
      </c>
      <c r="N176" s="20"/>
    </row>
    <row r="177" spans="1:14">
      <c r="A177" s="20">
        <v>175</v>
      </c>
      <c r="B177" s="20" t="s">
        <v>1489</v>
      </c>
      <c r="C177" s="20" t="s">
        <v>69</v>
      </c>
      <c r="D177" s="20" t="s">
        <v>1490</v>
      </c>
      <c r="E177" s="27" t="s">
        <v>78</v>
      </c>
      <c r="F177" s="20" t="s">
        <v>531</v>
      </c>
      <c r="G177" s="20" t="s">
        <v>1491</v>
      </c>
      <c r="H177" s="20" t="s">
        <v>1492</v>
      </c>
      <c r="I177" s="20" t="s">
        <v>1493</v>
      </c>
      <c r="J177" s="20" t="s">
        <v>1494</v>
      </c>
      <c r="K177" s="20" t="s">
        <v>105</v>
      </c>
      <c r="L177" s="20" t="s">
        <v>105</v>
      </c>
      <c r="M177" s="20" t="s">
        <v>604</v>
      </c>
      <c r="N177" s="20"/>
    </row>
    <row r="178" spans="1:14">
      <c r="A178" s="20">
        <v>176</v>
      </c>
      <c r="B178" s="20" t="s">
        <v>1495</v>
      </c>
      <c r="C178" s="20" t="s">
        <v>69</v>
      </c>
      <c r="D178" s="20" t="s">
        <v>1496</v>
      </c>
      <c r="E178" s="27" t="s">
        <v>78</v>
      </c>
      <c r="F178" s="20" t="s">
        <v>531</v>
      </c>
      <c r="G178" s="20" t="s">
        <v>1497</v>
      </c>
      <c r="H178" s="20" t="s">
        <v>1498</v>
      </c>
      <c r="I178" s="20" t="s">
        <v>1499</v>
      </c>
      <c r="J178" s="20" t="s">
        <v>1500</v>
      </c>
      <c r="K178" s="20" t="s">
        <v>105</v>
      </c>
      <c r="L178" s="20" t="s">
        <v>105</v>
      </c>
      <c r="M178" s="20" t="s">
        <v>1501</v>
      </c>
      <c r="N178" s="20"/>
    </row>
    <row r="179" spans="1:14">
      <c r="A179" s="20">
        <v>177</v>
      </c>
      <c r="B179" s="20" t="s">
        <v>1502</v>
      </c>
      <c r="C179" s="20" t="s">
        <v>69</v>
      </c>
      <c r="D179" s="20" t="s">
        <v>1503</v>
      </c>
      <c r="E179" s="27" t="s">
        <v>78</v>
      </c>
      <c r="F179" s="20" t="s">
        <v>531</v>
      </c>
      <c r="G179" s="20" t="s">
        <v>1504</v>
      </c>
      <c r="H179" s="20" t="s">
        <v>1505</v>
      </c>
      <c r="I179" s="20" t="s">
        <v>1506</v>
      </c>
      <c r="J179" s="20" t="s">
        <v>1507</v>
      </c>
      <c r="K179" s="20" t="s">
        <v>105</v>
      </c>
      <c r="L179" s="20" t="s">
        <v>105</v>
      </c>
      <c r="M179" s="20" t="s">
        <v>604</v>
      </c>
      <c r="N179" s="20"/>
    </row>
    <row r="180" spans="1:14">
      <c r="A180" s="20">
        <v>178</v>
      </c>
      <c r="B180" s="20" t="s">
        <v>1508</v>
      </c>
      <c r="C180" s="20" t="s">
        <v>69</v>
      </c>
      <c r="D180" s="20" t="s">
        <v>1509</v>
      </c>
      <c r="E180" s="27" t="s">
        <v>78</v>
      </c>
      <c r="F180" s="20" t="s">
        <v>531</v>
      </c>
      <c r="G180" s="20" t="s">
        <v>1510</v>
      </c>
      <c r="H180" s="20" t="s">
        <v>1511</v>
      </c>
      <c r="I180" s="20" t="s">
        <v>1512</v>
      </c>
      <c r="J180" s="20" t="s">
        <v>1513</v>
      </c>
      <c r="K180" s="20" t="s">
        <v>105</v>
      </c>
      <c r="L180" s="20" t="s">
        <v>105</v>
      </c>
      <c r="M180" s="20" t="s">
        <v>1514</v>
      </c>
      <c r="N180" s="20"/>
    </row>
    <row r="181" spans="1:14">
      <c r="A181" s="20">
        <v>179</v>
      </c>
      <c r="B181" s="20" t="s">
        <v>1515</v>
      </c>
      <c r="C181" s="20" t="s">
        <v>81</v>
      </c>
      <c r="D181" s="20" t="s">
        <v>1516</v>
      </c>
      <c r="E181" s="27" t="s">
        <v>78</v>
      </c>
      <c r="F181" s="20" t="s">
        <v>531</v>
      </c>
      <c r="G181" s="20" t="s">
        <v>1517</v>
      </c>
      <c r="H181" s="20" t="s">
        <v>1518</v>
      </c>
      <c r="I181" s="20" t="s">
        <v>1519</v>
      </c>
      <c r="J181" s="20" t="s">
        <v>1520</v>
      </c>
      <c r="K181" s="20" t="s">
        <v>105</v>
      </c>
      <c r="L181" s="20" t="s">
        <v>105</v>
      </c>
      <c r="M181" s="20" t="s">
        <v>604</v>
      </c>
      <c r="N181" s="20"/>
    </row>
    <row r="182" spans="1:14">
      <c r="A182" s="20">
        <v>180</v>
      </c>
      <c r="B182" s="20" t="s">
        <v>1521</v>
      </c>
      <c r="C182" s="20" t="s">
        <v>81</v>
      </c>
      <c r="D182" s="20" t="s">
        <v>1522</v>
      </c>
      <c r="E182" s="27" t="s">
        <v>78</v>
      </c>
      <c r="F182" s="20" t="s">
        <v>531</v>
      </c>
      <c r="G182" s="20" t="s">
        <v>1523</v>
      </c>
      <c r="H182" s="20" t="s">
        <v>1524</v>
      </c>
      <c r="I182" s="20" t="s">
        <v>1525</v>
      </c>
      <c r="J182" s="20" t="s">
        <v>1526</v>
      </c>
      <c r="K182" s="20" t="s">
        <v>105</v>
      </c>
      <c r="L182" s="20" t="s">
        <v>105</v>
      </c>
      <c r="M182" s="20" t="s">
        <v>1527</v>
      </c>
      <c r="N182" s="20"/>
    </row>
    <row r="183" spans="1:14">
      <c r="A183" s="20">
        <v>181</v>
      </c>
      <c r="B183" s="20" t="s">
        <v>1528</v>
      </c>
      <c r="C183" s="20" t="s">
        <v>69</v>
      </c>
      <c r="D183" s="20" t="s">
        <v>1529</v>
      </c>
      <c r="E183" s="27" t="s">
        <v>78</v>
      </c>
      <c r="F183" s="20" t="s">
        <v>531</v>
      </c>
      <c r="G183" s="20" t="s">
        <v>1530</v>
      </c>
      <c r="H183" s="20" t="s">
        <v>1531</v>
      </c>
      <c r="I183" s="20" t="s">
        <v>1532</v>
      </c>
      <c r="J183" s="20" t="s">
        <v>1533</v>
      </c>
      <c r="K183" s="20" t="s">
        <v>105</v>
      </c>
      <c r="L183" s="20" t="s">
        <v>105</v>
      </c>
      <c r="M183" s="20" t="s">
        <v>1100</v>
      </c>
      <c r="N183" s="20"/>
    </row>
    <row r="184" spans="1:14">
      <c r="A184" s="20">
        <v>182</v>
      </c>
      <c r="B184" s="20" t="s">
        <v>1534</v>
      </c>
      <c r="C184" s="20" t="s">
        <v>69</v>
      </c>
      <c r="D184" s="20" t="s">
        <v>1535</v>
      </c>
      <c r="E184" s="27" t="s">
        <v>78</v>
      </c>
      <c r="F184" s="20" t="s">
        <v>531</v>
      </c>
      <c r="G184" s="20" t="s">
        <v>1536</v>
      </c>
      <c r="H184" s="20" t="s">
        <v>1537</v>
      </c>
      <c r="I184" s="20" t="s">
        <v>1538</v>
      </c>
      <c r="J184" s="20" t="s">
        <v>1539</v>
      </c>
      <c r="K184" s="20" t="s">
        <v>105</v>
      </c>
      <c r="L184" s="20" t="s">
        <v>105</v>
      </c>
      <c r="M184" s="20" t="s">
        <v>1100</v>
      </c>
      <c r="N184" s="20"/>
    </row>
    <row r="185" spans="1:14">
      <c r="A185" s="20">
        <v>183</v>
      </c>
      <c r="B185" s="20" t="s">
        <v>1540</v>
      </c>
      <c r="C185" s="20" t="s">
        <v>69</v>
      </c>
      <c r="D185" s="20" t="s">
        <v>1541</v>
      </c>
      <c r="E185" s="27" t="s">
        <v>78</v>
      </c>
      <c r="F185" s="20" t="s">
        <v>531</v>
      </c>
      <c r="G185" s="20" t="s">
        <v>1542</v>
      </c>
      <c r="H185" s="20" t="s">
        <v>1543</v>
      </c>
      <c r="I185" s="20" t="s">
        <v>1544</v>
      </c>
      <c r="J185" s="20" t="s">
        <v>1545</v>
      </c>
      <c r="K185" s="20" t="s">
        <v>105</v>
      </c>
      <c r="L185" s="20" t="s">
        <v>105</v>
      </c>
      <c r="M185" s="20" t="s">
        <v>656</v>
      </c>
      <c r="N185" s="20"/>
    </row>
    <row r="186" spans="1:14">
      <c r="A186" s="20">
        <v>184</v>
      </c>
      <c r="B186" s="20" t="s">
        <v>1546</v>
      </c>
      <c r="C186" s="20" t="s">
        <v>69</v>
      </c>
      <c r="D186" s="20" t="s">
        <v>1547</v>
      </c>
      <c r="E186" s="27" t="s">
        <v>78</v>
      </c>
      <c r="F186" s="20" t="s">
        <v>531</v>
      </c>
      <c r="G186" s="20" t="s">
        <v>1548</v>
      </c>
      <c r="H186" s="20" t="s">
        <v>1549</v>
      </c>
      <c r="I186" s="20" t="s">
        <v>1550</v>
      </c>
      <c r="J186" s="20" t="s">
        <v>1551</v>
      </c>
      <c r="K186" s="20" t="s">
        <v>105</v>
      </c>
      <c r="L186" s="20" t="s">
        <v>105</v>
      </c>
      <c r="M186" s="20" t="s">
        <v>656</v>
      </c>
      <c r="N186" s="20"/>
    </row>
    <row r="187" spans="1:14">
      <c r="A187" s="20">
        <v>185</v>
      </c>
      <c r="B187" s="20" t="s">
        <v>1552</v>
      </c>
      <c r="C187" s="20" t="s">
        <v>69</v>
      </c>
      <c r="D187" s="20" t="s">
        <v>1553</v>
      </c>
      <c r="E187" s="27" t="s">
        <v>78</v>
      </c>
      <c r="F187" s="20" t="s">
        <v>128</v>
      </c>
      <c r="G187" s="20" t="s">
        <v>1554</v>
      </c>
      <c r="H187" s="20" t="s">
        <v>1555</v>
      </c>
      <c r="I187" s="20" t="s">
        <v>1556</v>
      </c>
      <c r="J187" s="20" t="s">
        <v>1557</v>
      </c>
      <c r="K187" s="20" t="s">
        <v>105</v>
      </c>
      <c r="L187" s="20" t="s">
        <v>105</v>
      </c>
      <c r="M187" s="20" t="s">
        <v>604</v>
      </c>
      <c r="N187" s="20"/>
    </row>
    <row r="188" spans="1:14">
      <c r="A188" s="20">
        <v>186</v>
      </c>
      <c r="B188" s="20" t="s">
        <v>680</v>
      </c>
      <c r="C188" s="20" t="s">
        <v>79</v>
      </c>
      <c r="D188" s="20" t="s">
        <v>681</v>
      </c>
      <c r="E188" s="27" t="s">
        <v>78</v>
      </c>
      <c r="F188" s="20" t="s">
        <v>531</v>
      </c>
      <c r="G188" s="20" t="s">
        <v>682</v>
      </c>
      <c r="H188" s="20" t="s">
        <v>1558</v>
      </c>
      <c r="I188" s="20" t="s">
        <v>1559</v>
      </c>
      <c r="J188" s="20" t="s">
        <v>1560</v>
      </c>
      <c r="K188" s="20" t="s">
        <v>105</v>
      </c>
      <c r="L188" s="28"/>
      <c r="M188" s="20" t="s">
        <v>348</v>
      </c>
      <c r="N188" s="20" t="s">
        <v>685</v>
      </c>
    </row>
    <row r="189" spans="1:14">
      <c r="A189" s="20">
        <v>187</v>
      </c>
      <c r="B189" s="20" t="s">
        <v>1561</v>
      </c>
      <c r="C189" s="20" t="s">
        <v>69</v>
      </c>
      <c r="D189" s="20" t="s">
        <v>1562</v>
      </c>
      <c r="E189" s="27" t="s">
        <v>78</v>
      </c>
      <c r="F189" s="20" t="s">
        <v>531</v>
      </c>
      <c r="G189" s="20" t="s">
        <v>1563</v>
      </c>
      <c r="H189" s="20" t="s">
        <v>1564</v>
      </c>
      <c r="I189" s="20" t="s">
        <v>1565</v>
      </c>
      <c r="J189" s="20" t="s">
        <v>1566</v>
      </c>
      <c r="K189" s="20" t="s">
        <v>105</v>
      </c>
      <c r="L189" s="20" t="s">
        <v>105</v>
      </c>
      <c r="M189" s="20" t="s">
        <v>604</v>
      </c>
      <c r="N189" s="20"/>
    </row>
    <row r="190" spans="1:14">
      <c r="A190" s="20">
        <v>188</v>
      </c>
      <c r="B190" s="20" t="s">
        <v>1567</v>
      </c>
      <c r="C190" s="20" t="s">
        <v>83</v>
      </c>
      <c r="D190" s="20" t="s">
        <v>1568</v>
      </c>
      <c r="E190" s="27" t="s">
        <v>78</v>
      </c>
      <c r="F190" s="20" t="s">
        <v>322</v>
      </c>
      <c r="G190" s="20" t="s">
        <v>1569</v>
      </c>
      <c r="H190" s="20" t="s">
        <v>1570</v>
      </c>
      <c r="I190" s="20" t="s">
        <v>1571</v>
      </c>
      <c r="J190" s="20" t="s">
        <v>1572</v>
      </c>
      <c r="K190" s="20" t="s">
        <v>105</v>
      </c>
      <c r="L190" s="28"/>
      <c r="M190" s="20" t="s">
        <v>348</v>
      </c>
      <c r="N190" s="20"/>
    </row>
    <row r="191" spans="1:14">
      <c r="A191" s="20">
        <v>189</v>
      </c>
      <c r="B191" s="20" t="s">
        <v>1573</v>
      </c>
      <c r="C191" s="20" t="s">
        <v>83</v>
      </c>
      <c r="D191" s="20" t="s">
        <v>1574</v>
      </c>
      <c r="E191" s="27" t="s">
        <v>78</v>
      </c>
      <c r="F191" s="20" t="s">
        <v>322</v>
      </c>
      <c r="G191" s="20" t="s">
        <v>1575</v>
      </c>
      <c r="H191" s="20" t="s">
        <v>1576</v>
      </c>
      <c r="I191" s="20" t="s">
        <v>1577</v>
      </c>
      <c r="J191" s="20" t="s">
        <v>1578</v>
      </c>
      <c r="K191" s="20" t="s">
        <v>105</v>
      </c>
      <c r="L191" s="20" t="s">
        <v>105</v>
      </c>
      <c r="M191" s="20" t="s">
        <v>1579</v>
      </c>
      <c r="N191" s="20"/>
    </row>
    <row r="192" spans="1:14">
      <c r="A192" s="20">
        <v>190</v>
      </c>
      <c r="B192" s="20" t="s">
        <v>1580</v>
      </c>
      <c r="C192" s="20" t="s">
        <v>75</v>
      </c>
      <c r="D192" s="20" t="s">
        <v>1581</v>
      </c>
      <c r="E192" s="27" t="s">
        <v>78</v>
      </c>
      <c r="F192" s="20" t="s">
        <v>201</v>
      </c>
      <c r="G192" s="20" t="s">
        <v>1582</v>
      </c>
      <c r="H192" s="20" t="s">
        <v>1583</v>
      </c>
      <c r="I192" s="20" t="s">
        <v>1584</v>
      </c>
      <c r="J192" s="20" t="s">
        <v>1585</v>
      </c>
      <c r="K192" s="20" t="s">
        <v>105</v>
      </c>
      <c r="L192" s="20" t="s">
        <v>105</v>
      </c>
      <c r="M192" s="20" t="s">
        <v>604</v>
      </c>
      <c r="N192" s="20"/>
    </row>
    <row r="193" spans="1:14">
      <c r="A193" s="20">
        <v>191</v>
      </c>
      <c r="B193" s="20" t="s">
        <v>1586</v>
      </c>
      <c r="C193" s="20" t="s">
        <v>75</v>
      </c>
      <c r="D193" s="20" t="s">
        <v>1587</v>
      </c>
      <c r="E193" s="27" t="s">
        <v>78</v>
      </c>
      <c r="F193" s="20" t="s">
        <v>201</v>
      </c>
      <c r="G193" s="20" t="s">
        <v>1588</v>
      </c>
      <c r="H193" s="20" t="s">
        <v>1589</v>
      </c>
      <c r="I193" s="20" t="s">
        <v>1590</v>
      </c>
      <c r="J193" s="20" t="s">
        <v>1591</v>
      </c>
      <c r="K193" s="20" t="s">
        <v>105</v>
      </c>
      <c r="L193" s="28"/>
      <c r="M193" s="20" t="s">
        <v>348</v>
      </c>
      <c r="N193" s="20"/>
    </row>
    <row r="194" spans="1:14">
      <c r="A194" s="20">
        <v>192</v>
      </c>
      <c r="B194" s="20" t="s">
        <v>1592</v>
      </c>
      <c r="C194" s="20" t="s">
        <v>75</v>
      </c>
      <c r="D194" s="20" t="s">
        <v>1593</v>
      </c>
      <c r="E194" s="27" t="s">
        <v>78</v>
      </c>
      <c r="F194" s="20" t="s">
        <v>201</v>
      </c>
      <c r="G194" s="20" t="s">
        <v>1594</v>
      </c>
      <c r="H194" s="20" t="s">
        <v>1595</v>
      </c>
      <c r="I194" s="20" t="s">
        <v>1596</v>
      </c>
      <c r="J194" s="20" t="s">
        <v>1597</v>
      </c>
      <c r="K194" s="20" t="s">
        <v>105</v>
      </c>
      <c r="L194" s="28"/>
      <c r="M194" s="20" t="s">
        <v>348</v>
      </c>
      <c r="N194" s="20"/>
    </row>
    <row r="195" spans="1:14">
      <c r="A195" s="20">
        <v>193</v>
      </c>
      <c r="B195" s="20" t="s">
        <v>1598</v>
      </c>
      <c r="C195" s="20" t="s">
        <v>75</v>
      </c>
      <c r="D195" s="20" t="s">
        <v>1599</v>
      </c>
      <c r="E195" s="27" t="s">
        <v>78</v>
      </c>
      <c r="F195" s="20" t="s">
        <v>201</v>
      </c>
      <c r="G195" s="20" t="s">
        <v>1600</v>
      </c>
      <c r="H195" s="20" t="s">
        <v>1601</v>
      </c>
      <c r="I195" s="20" t="s">
        <v>1602</v>
      </c>
      <c r="J195" s="20" t="s">
        <v>1603</v>
      </c>
      <c r="K195" s="20" t="s">
        <v>105</v>
      </c>
      <c r="L195" s="28"/>
      <c r="M195" s="20" t="s">
        <v>348</v>
      </c>
      <c r="N195" s="20"/>
    </row>
    <row r="196" spans="1:14">
      <c r="A196" s="20">
        <v>194</v>
      </c>
      <c r="B196" s="20" t="s">
        <v>1604</v>
      </c>
      <c r="C196" s="20" t="s">
        <v>75</v>
      </c>
      <c r="D196" s="20" t="s">
        <v>1605</v>
      </c>
      <c r="E196" s="27" t="s">
        <v>78</v>
      </c>
      <c r="F196" s="20" t="s">
        <v>201</v>
      </c>
      <c r="G196" s="20" t="s">
        <v>1606</v>
      </c>
      <c r="H196" s="20" t="s">
        <v>1607</v>
      </c>
      <c r="I196" s="20" t="s">
        <v>1608</v>
      </c>
      <c r="J196" s="20" t="s">
        <v>1609</v>
      </c>
      <c r="K196" s="20" t="s">
        <v>105</v>
      </c>
      <c r="L196" s="28"/>
      <c r="M196" s="20" t="s">
        <v>348</v>
      </c>
      <c r="N196" s="20"/>
    </row>
    <row r="197" spans="1:14">
      <c r="A197" s="20">
        <v>195</v>
      </c>
      <c r="B197" s="20" t="s">
        <v>1021</v>
      </c>
      <c r="C197" s="20" t="s">
        <v>75</v>
      </c>
      <c r="D197" s="20" t="s">
        <v>1610</v>
      </c>
      <c r="E197" s="27" t="s">
        <v>78</v>
      </c>
      <c r="F197" s="20" t="s">
        <v>201</v>
      </c>
      <c r="G197" s="20" t="s">
        <v>1023</v>
      </c>
      <c r="H197" s="20" t="s">
        <v>1611</v>
      </c>
      <c r="I197" s="20" t="s">
        <v>1612</v>
      </c>
      <c r="J197" s="20" t="s">
        <v>1026</v>
      </c>
      <c r="K197" s="20" t="s">
        <v>105</v>
      </c>
      <c r="L197" s="20" t="s">
        <v>105</v>
      </c>
      <c r="M197" s="20" t="s">
        <v>930</v>
      </c>
      <c r="N197" s="20" t="s">
        <v>528</v>
      </c>
    </row>
    <row r="198" spans="1:14">
      <c r="A198" s="20">
        <v>196</v>
      </c>
      <c r="B198" s="20" t="s">
        <v>1027</v>
      </c>
      <c r="C198" s="20" t="s">
        <v>75</v>
      </c>
      <c r="D198" s="20" t="s">
        <v>1613</v>
      </c>
      <c r="E198" s="27" t="s">
        <v>78</v>
      </c>
      <c r="F198" s="20" t="s">
        <v>201</v>
      </c>
      <c r="G198" s="20" t="s">
        <v>1029</v>
      </c>
      <c r="H198" s="20" t="s">
        <v>1614</v>
      </c>
      <c r="I198" s="20" t="s">
        <v>1615</v>
      </c>
      <c r="J198" s="20" t="s">
        <v>1032</v>
      </c>
      <c r="K198" s="20" t="s">
        <v>105</v>
      </c>
      <c r="L198" s="20" t="s">
        <v>105</v>
      </c>
      <c r="M198" s="20" t="s">
        <v>485</v>
      </c>
      <c r="N198" s="20" t="s">
        <v>528</v>
      </c>
    </row>
    <row r="199" spans="1:14">
      <c r="A199" s="20">
        <v>197</v>
      </c>
      <c r="B199" s="20" t="s">
        <v>1616</v>
      </c>
      <c r="C199" s="20" t="s">
        <v>75</v>
      </c>
      <c r="D199" s="20" t="s">
        <v>1617</v>
      </c>
      <c r="E199" s="27" t="s">
        <v>78</v>
      </c>
      <c r="F199" s="20" t="s">
        <v>201</v>
      </c>
      <c r="G199" s="20" t="s">
        <v>1618</v>
      </c>
      <c r="H199" s="20" t="s">
        <v>1619</v>
      </c>
      <c r="I199" s="20" t="s">
        <v>1620</v>
      </c>
      <c r="J199" s="20" t="s">
        <v>1621</v>
      </c>
      <c r="K199" s="20" t="s">
        <v>105</v>
      </c>
      <c r="L199" s="20" t="s">
        <v>105</v>
      </c>
      <c r="M199" s="20" t="s">
        <v>1622</v>
      </c>
      <c r="N199" s="20"/>
    </row>
    <row r="200" spans="1:14">
      <c r="A200" s="20">
        <v>198</v>
      </c>
      <c r="B200" s="20" t="s">
        <v>1623</v>
      </c>
      <c r="C200" s="20" t="s">
        <v>75</v>
      </c>
      <c r="D200" s="20" t="s">
        <v>1624</v>
      </c>
      <c r="E200" s="27" t="s">
        <v>78</v>
      </c>
      <c r="F200" s="20" t="s">
        <v>201</v>
      </c>
      <c r="G200" s="20" t="s">
        <v>1625</v>
      </c>
      <c r="H200" s="20" t="s">
        <v>1626</v>
      </c>
      <c r="I200" s="20" t="s">
        <v>1627</v>
      </c>
      <c r="J200" s="20" t="s">
        <v>1628</v>
      </c>
      <c r="K200" s="20" t="s">
        <v>105</v>
      </c>
      <c r="L200" s="20" t="s">
        <v>105</v>
      </c>
      <c r="M200" s="20" t="s">
        <v>1622</v>
      </c>
      <c r="N200" s="20"/>
    </row>
    <row r="201" spans="1:14">
      <c r="A201" s="20">
        <v>199</v>
      </c>
      <c r="B201" s="20" t="s">
        <v>1629</v>
      </c>
      <c r="C201" s="20" t="s">
        <v>75</v>
      </c>
      <c r="D201" s="20" t="s">
        <v>1630</v>
      </c>
      <c r="E201" s="27" t="s">
        <v>78</v>
      </c>
      <c r="F201" s="20" t="s">
        <v>1631</v>
      </c>
      <c r="G201" s="20" t="s">
        <v>1632</v>
      </c>
      <c r="H201" s="20" t="s">
        <v>1633</v>
      </c>
      <c r="I201" s="20" t="s">
        <v>1634</v>
      </c>
      <c r="J201" s="20" t="s">
        <v>1635</v>
      </c>
      <c r="K201" s="20" t="s">
        <v>105</v>
      </c>
      <c r="L201" s="20" t="s">
        <v>105</v>
      </c>
      <c r="M201" s="20" t="s">
        <v>1622</v>
      </c>
      <c r="N201" s="20"/>
    </row>
    <row r="202" spans="1:14">
      <c r="A202" s="20">
        <v>200</v>
      </c>
      <c r="B202" s="20" t="s">
        <v>1636</v>
      </c>
      <c r="C202" s="20" t="s">
        <v>75</v>
      </c>
      <c r="D202" s="20" t="s">
        <v>1637</v>
      </c>
      <c r="E202" s="27" t="s">
        <v>78</v>
      </c>
      <c r="F202" s="20" t="s">
        <v>1631</v>
      </c>
      <c r="G202" s="20" t="s">
        <v>1638</v>
      </c>
      <c r="H202" s="20" t="s">
        <v>1639</v>
      </c>
      <c r="I202" s="20" t="s">
        <v>1640</v>
      </c>
      <c r="J202" s="20" t="s">
        <v>1641</v>
      </c>
      <c r="K202" s="20" t="s">
        <v>105</v>
      </c>
      <c r="L202" s="20" t="s">
        <v>105</v>
      </c>
      <c r="M202" s="20" t="s">
        <v>1622</v>
      </c>
      <c r="N202" s="20"/>
    </row>
    <row r="203" spans="1:14">
      <c r="A203" s="20">
        <v>201</v>
      </c>
      <c r="B203" s="20" t="s">
        <v>1642</v>
      </c>
      <c r="C203" s="20" t="s">
        <v>75</v>
      </c>
      <c r="D203" s="20" t="s">
        <v>1643</v>
      </c>
      <c r="E203" s="27" t="s">
        <v>78</v>
      </c>
      <c r="F203" s="20" t="s">
        <v>201</v>
      </c>
      <c r="G203" s="20" t="s">
        <v>1644</v>
      </c>
      <c r="H203" s="20" t="s">
        <v>1645</v>
      </c>
      <c r="I203" s="20" t="s">
        <v>1646</v>
      </c>
      <c r="J203" s="20" t="s">
        <v>1647</v>
      </c>
      <c r="K203" s="20" t="s">
        <v>105</v>
      </c>
      <c r="L203" s="20" t="s">
        <v>105</v>
      </c>
      <c r="M203" s="20" t="s">
        <v>604</v>
      </c>
      <c r="N203" s="20"/>
    </row>
    <row r="204" spans="1:14">
      <c r="A204" s="20">
        <v>202</v>
      </c>
      <c r="B204" s="20" t="s">
        <v>1648</v>
      </c>
      <c r="C204" s="20" t="s">
        <v>75</v>
      </c>
      <c r="D204" s="20" t="s">
        <v>1649</v>
      </c>
      <c r="E204" s="27" t="s">
        <v>78</v>
      </c>
      <c r="F204" s="20" t="s">
        <v>201</v>
      </c>
      <c r="G204" s="20" t="s">
        <v>1650</v>
      </c>
      <c r="H204" s="20" t="s">
        <v>1651</v>
      </c>
      <c r="I204" s="20" t="s">
        <v>1652</v>
      </c>
      <c r="J204" s="20" t="s">
        <v>1653</v>
      </c>
      <c r="K204" s="20" t="s">
        <v>105</v>
      </c>
      <c r="L204" s="20" t="s">
        <v>105</v>
      </c>
      <c r="M204" s="20" t="s">
        <v>604</v>
      </c>
      <c r="N204" s="20"/>
    </row>
    <row r="205" spans="1:14">
      <c r="A205" s="20">
        <v>203</v>
      </c>
      <c r="B205" s="20" t="s">
        <v>1654</v>
      </c>
      <c r="C205" s="20" t="s">
        <v>75</v>
      </c>
      <c r="D205" s="20" t="s">
        <v>1655</v>
      </c>
      <c r="E205" s="27" t="s">
        <v>78</v>
      </c>
      <c r="F205" s="20" t="s">
        <v>128</v>
      </c>
      <c r="G205" s="20" t="s">
        <v>1656</v>
      </c>
      <c r="H205" s="20" t="s">
        <v>1611</v>
      </c>
      <c r="I205" s="20" t="s">
        <v>1657</v>
      </c>
      <c r="J205" s="20" t="s">
        <v>1658</v>
      </c>
      <c r="K205" s="20" t="s">
        <v>105</v>
      </c>
      <c r="L205" s="20" t="s">
        <v>105</v>
      </c>
      <c r="M205" s="20" t="s">
        <v>604</v>
      </c>
      <c r="N205" s="20"/>
    </row>
    <row r="206" spans="1:14">
      <c r="A206" s="20">
        <v>204</v>
      </c>
      <c r="B206" s="20" t="s">
        <v>1659</v>
      </c>
      <c r="C206" s="20" t="s">
        <v>75</v>
      </c>
      <c r="D206" s="20" t="s">
        <v>1660</v>
      </c>
      <c r="E206" s="27" t="s">
        <v>78</v>
      </c>
      <c r="F206" s="20" t="s">
        <v>128</v>
      </c>
      <c r="G206" s="20" t="s">
        <v>1661</v>
      </c>
      <c r="H206" s="20" t="s">
        <v>1662</v>
      </c>
      <c r="I206" s="20" t="s">
        <v>1663</v>
      </c>
      <c r="J206" s="20" t="s">
        <v>1664</v>
      </c>
      <c r="K206" s="20" t="s">
        <v>105</v>
      </c>
      <c r="L206" s="20" t="s">
        <v>105</v>
      </c>
      <c r="M206" s="20" t="s">
        <v>1622</v>
      </c>
      <c r="N206" s="20"/>
    </row>
    <row r="207" spans="1:14">
      <c r="A207" s="20">
        <v>205</v>
      </c>
      <c r="B207" s="20" t="s">
        <v>1665</v>
      </c>
      <c r="C207" s="20" t="s">
        <v>75</v>
      </c>
      <c r="D207" s="20" t="s">
        <v>1666</v>
      </c>
      <c r="E207" s="27" t="s">
        <v>78</v>
      </c>
      <c r="F207" s="20" t="s">
        <v>128</v>
      </c>
      <c r="G207" s="20" t="s">
        <v>1667</v>
      </c>
      <c r="H207" s="20" t="s">
        <v>1668</v>
      </c>
      <c r="I207" s="20" t="s">
        <v>1669</v>
      </c>
      <c r="J207" s="20" t="s">
        <v>1670</v>
      </c>
      <c r="K207" s="20" t="s">
        <v>105</v>
      </c>
      <c r="L207" s="20" t="s">
        <v>105</v>
      </c>
      <c r="M207" s="20" t="s">
        <v>1622</v>
      </c>
      <c r="N207" s="20"/>
    </row>
    <row r="208" spans="1:14">
      <c r="A208" s="20">
        <v>206</v>
      </c>
      <c r="B208" s="20" t="s">
        <v>1671</v>
      </c>
      <c r="C208" s="20" t="s">
        <v>75</v>
      </c>
      <c r="D208" s="20" t="s">
        <v>1672</v>
      </c>
      <c r="E208" s="27" t="s">
        <v>78</v>
      </c>
      <c r="F208" s="20" t="s">
        <v>128</v>
      </c>
      <c r="G208" s="20" t="s">
        <v>1673</v>
      </c>
      <c r="H208" s="20" t="s">
        <v>1674</v>
      </c>
      <c r="I208" s="20" t="s">
        <v>1675</v>
      </c>
      <c r="J208" s="20" t="s">
        <v>1676</v>
      </c>
      <c r="K208" s="20" t="s">
        <v>105</v>
      </c>
      <c r="L208" s="20" t="s">
        <v>105</v>
      </c>
      <c r="M208" s="20" t="s">
        <v>1622</v>
      </c>
      <c r="N208" s="20"/>
    </row>
    <row r="209" spans="1:14">
      <c r="A209" s="20">
        <v>207</v>
      </c>
      <c r="B209" s="20" t="s">
        <v>1677</v>
      </c>
      <c r="C209" s="20" t="s">
        <v>75</v>
      </c>
      <c r="D209" s="20" t="s">
        <v>1678</v>
      </c>
      <c r="E209" s="27" t="s">
        <v>78</v>
      </c>
      <c r="F209" s="20" t="s">
        <v>128</v>
      </c>
      <c r="G209" s="20" t="s">
        <v>1679</v>
      </c>
      <c r="H209" s="20" t="s">
        <v>1680</v>
      </c>
      <c r="I209" s="20" t="s">
        <v>1681</v>
      </c>
      <c r="J209" s="20" t="s">
        <v>1682</v>
      </c>
      <c r="K209" s="20" t="s">
        <v>105</v>
      </c>
      <c r="L209" s="20" t="s">
        <v>105</v>
      </c>
      <c r="M209" s="20" t="s">
        <v>1622</v>
      </c>
      <c r="N209" s="20"/>
    </row>
    <row r="210" spans="1:14">
      <c r="A210" s="20">
        <v>208</v>
      </c>
      <c r="B210" s="20" t="s">
        <v>1683</v>
      </c>
      <c r="C210" s="20" t="s">
        <v>75</v>
      </c>
      <c r="D210" s="20" t="s">
        <v>1684</v>
      </c>
      <c r="E210" s="27" t="s">
        <v>78</v>
      </c>
      <c r="F210" s="20" t="s">
        <v>1631</v>
      </c>
      <c r="G210" s="20" t="s">
        <v>1685</v>
      </c>
      <c r="H210" s="20" t="s">
        <v>1686</v>
      </c>
      <c r="I210" s="20" t="s">
        <v>1687</v>
      </c>
      <c r="J210" s="20" t="s">
        <v>1688</v>
      </c>
      <c r="K210" s="20" t="s">
        <v>105</v>
      </c>
      <c r="L210" s="20" t="s">
        <v>105</v>
      </c>
      <c r="M210" s="20" t="s">
        <v>604</v>
      </c>
      <c r="N210" s="20"/>
    </row>
    <row r="211" spans="1:14">
      <c r="A211" s="20">
        <v>209</v>
      </c>
      <c r="B211" s="20" t="s">
        <v>1689</v>
      </c>
      <c r="C211" s="20" t="s">
        <v>75</v>
      </c>
      <c r="D211" s="20" t="s">
        <v>1690</v>
      </c>
      <c r="E211" s="27" t="s">
        <v>78</v>
      </c>
      <c r="F211" s="20" t="s">
        <v>1631</v>
      </c>
      <c r="G211" s="20" t="s">
        <v>1691</v>
      </c>
      <c r="H211" s="20" t="s">
        <v>1692</v>
      </c>
      <c r="I211" s="20" t="s">
        <v>1693</v>
      </c>
      <c r="J211" s="20" t="s">
        <v>1694</v>
      </c>
      <c r="K211" s="20" t="s">
        <v>105</v>
      </c>
      <c r="L211" s="20" t="s">
        <v>105</v>
      </c>
      <c r="M211" s="20" t="s">
        <v>604</v>
      </c>
      <c r="N211" s="20"/>
    </row>
    <row r="212" spans="1:14">
      <c r="A212" s="20">
        <v>210</v>
      </c>
      <c r="B212" s="20" t="s">
        <v>1695</v>
      </c>
      <c r="C212" s="20" t="s">
        <v>75</v>
      </c>
      <c r="D212" s="20" t="s">
        <v>1696</v>
      </c>
      <c r="E212" s="27" t="s">
        <v>78</v>
      </c>
      <c r="F212" s="20" t="s">
        <v>1631</v>
      </c>
      <c r="G212" s="20" t="s">
        <v>1697</v>
      </c>
      <c r="H212" s="20" t="s">
        <v>1698</v>
      </c>
      <c r="I212" s="20" t="s">
        <v>1699</v>
      </c>
      <c r="J212" s="20" t="s">
        <v>1700</v>
      </c>
      <c r="K212" s="20" t="s">
        <v>105</v>
      </c>
      <c r="L212" s="20" t="s">
        <v>105</v>
      </c>
      <c r="M212" s="20" t="s">
        <v>604</v>
      </c>
      <c r="N212" s="20"/>
    </row>
    <row r="213" spans="1:14">
      <c r="A213" s="20">
        <v>211</v>
      </c>
      <c r="B213" s="20" t="s">
        <v>1701</v>
      </c>
      <c r="C213" s="20" t="s">
        <v>75</v>
      </c>
      <c r="D213" s="20" t="s">
        <v>1702</v>
      </c>
      <c r="E213" s="27" t="s">
        <v>78</v>
      </c>
      <c r="F213" s="20" t="s">
        <v>1631</v>
      </c>
      <c r="G213" s="20" t="s">
        <v>1703</v>
      </c>
      <c r="H213" s="20" t="s">
        <v>1704</v>
      </c>
      <c r="I213" s="20" t="s">
        <v>1705</v>
      </c>
      <c r="J213" s="20" t="s">
        <v>1706</v>
      </c>
      <c r="K213" s="20" t="s">
        <v>105</v>
      </c>
      <c r="L213" s="20" t="s">
        <v>105</v>
      </c>
      <c r="M213" s="20" t="s">
        <v>604</v>
      </c>
      <c r="N213" s="20"/>
    </row>
    <row r="214" spans="1:14">
      <c r="A214" s="20">
        <v>212</v>
      </c>
      <c r="B214" s="20" t="s">
        <v>1707</v>
      </c>
      <c r="C214" s="20" t="s">
        <v>75</v>
      </c>
      <c r="D214" s="20" t="s">
        <v>1708</v>
      </c>
      <c r="E214" s="27" t="s">
        <v>78</v>
      </c>
      <c r="F214" s="20" t="s">
        <v>128</v>
      </c>
      <c r="G214" s="20" t="s">
        <v>1709</v>
      </c>
      <c r="H214" s="20" t="s">
        <v>1614</v>
      </c>
      <c r="I214" s="20" t="s">
        <v>1710</v>
      </c>
      <c r="J214" s="20" t="s">
        <v>1711</v>
      </c>
      <c r="K214" s="20" t="s">
        <v>105</v>
      </c>
      <c r="L214" s="20" t="s">
        <v>105</v>
      </c>
      <c r="M214" s="20" t="s">
        <v>604</v>
      </c>
      <c r="N214" s="20"/>
    </row>
    <row r="215" spans="1:14">
      <c r="A215" s="20">
        <v>213</v>
      </c>
      <c r="B215" s="20" t="s">
        <v>680</v>
      </c>
      <c r="C215" s="20" t="s">
        <v>79</v>
      </c>
      <c r="D215" s="20" t="s">
        <v>681</v>
      </c>
      <c r="E215" s="27" t="s">
        <v>78</v>
      </c>
      <c r="F215" s="20" t="s">
        <v>201</v>
      </c>
      <c r="G215" s="20" t="s">
        <v>682</v>
      </c>
      <c r="H215" s="20" t="s">
        <v>1712</v>
      </c>
      <c r="I215" s="20" t="s">
        <v>1713</v>
      </c>
      <c r="J215" s="20" t="s">
        <v>1560</v>
      </c>
      <c r="K215" s="20" t="s">
        <v>105</v>
      </c>
      <c r="L215" s="28"/>
      <c r="M215" s="20" t="s">
        <v>348</v>
      </c>
      <c r="N215" s="20" t="s">
        <v>685</v>
      </c>
    </row>
    <row r="216" spans="1:14">
      <c r="A216" s="20">
        <v>214</v>
      </c>
      <c r="B216" s="20" t="s">
        <v>1190</v>
      </c>
      <c r="C216" s="20" t="s">
        <v>79</v>
      </c>
      <c r="D216" s="20" t="s">
        <v>1191</v>
      </c>
      <c r="E216" s="27" t="s">
        <v>78</v>
      </c>
      <c r="F216" s="20" t="s">
        <v>1631</v>
      </c>
      <c r="G216" s="20" t="s">
        <v>1192</v>
      </c>
      <c r="H216" s="20" t="s">
        <v>1712</v>
      </c>
      <c r="I216" s="20" t="s">
        <v>1714</v>
      </c>
      <c r="J216" s="20" t="s">
        <v>1194</v>
      </c>
      <c r="K216" s="20" t="s">
        <v>105</v>
      </c>
      <c r="L216" s="28"/>
      <c r="M216" s="20" t="s">
        <v>348</v>
      </c>
      <c r="N216" s="20"/>
    </row>
    <row r="217" spans="1:14">
      <c r="A217" s="20">
        <v>215</v>
      </c>
      <c r="B217" s="20" t="s">
        <v>1715</v>
      </c>
      <c r="C217" s="20" t="s">
        <v>73</v>
      </c>
      <c r="D217" s="20" t="s">
        <v>1716</v>
      </c>
      <c r="E217" s="27" t="s">
        <v>78</v>
      </c>
      <c r="F217" s="20" t="s">
        <v>201</v>
      </c>
      <c r="G217" s="20" t="s">
        <v>1717</v>
      </c>
      <c r="H217" s="20" t="s">
        <v>1718</v>
      </c>
      <c r="I217" s="20" t="s">
        <v>1719</v>
      </c>
      <c r="J217" s="20" t="s">
        <v>1720</v>
      </c>
      <c r="K217" s="20" t="s">
        <v>105</v>
      </c>
      <c r="L217" s="20" t="s">
        <v>105</v>
      </c>
      <c r="M217" s="20" t="s">
        <v>235</v>
      </c>
      <c r="N217" s="20"/>
    </row>
    <row r="218" spans="1:14">
      <c r="A218" s="20">
        <v>216</v>
      </c>
      <c r="B218" s="20" t="s">
        <v>1721</v>
      </c>
      <c r="C218" s="20" t="s">
        <v>79</v>
      </c>
      <c r="D218" s="20" t="s">
        <v>1722</v>
      </c>
      <c r="E218" s="27" t="s">
        <v>78</v>
      </c>
      <c r="F218" s="20" t="s">
        <v>201</v>
      </c>
      <c r="G218" s="20" t="s">
        <v>1723</v>
      </c>
      <c r="H218" s="20" t="s">
        <v>1724</v>
      </c>
      <c r="I218" s="20" t="s">
        <v>1725</v>
      </c>
      <c r="J218" s="20" t="s">
        <v>1726</v>
      </c>
      <c r="K218" s="20" t="s">
        <v>105</v>
      </c>
      <c r="L218" s="28"/>
      <c r="M218" s="20" t="s">
        <v>348</v>
      </c>
      <c r="N218" s="20"/>
    </row>
    <row r="219" spans="1:14">
      <c r="A219" s="20">
        <v>217</v>
      </c>
      <c r="B219" s="20" t="s">
        <v>1727</v>
      </c>
      <c r="C219" s="20" t="s">
        <v>69</v>
      </c>
      <c r="D219" s="20" t="s">
        <v>1728</v>
      </c>
      <c r="E219" s="29" t="s">
        <v>65</v>
      </c>
      <c r="F219" s="20" t="s">
        <v>106</v>
      </c>
      <c r="G219" s="20" t="s">
        <v>1729</v>
      </c>
      <c r="H219" s="20" t="s">
        <v>1730</v>
      </c>
      <c r="I219" s="20" t="s">
        <v>1731</v>
      </c>
      <c r="J219" s="20"/>
      <c r="K219" s="29"/>
      <c r="L219" s="28"/>
      <c r="M219" s="20" t="s">
        <v>628</v>
      </c>
      <c r="N219" s="20"/>
    </row>
    <row r="220" spans="1:14">
      <c r="A220" s="20">
        <v>218</v>
      </c>
      <c r="B220" s="20" t="s">
        <v>1732</v>
      </c>
      <c r="C220" s="20" t="s">
        <v>79</v>
      </c>
      <c r="D220" s="20" t="s">
        <v>1733</v>
      </c>
      <c r="E220" s="29" t="s">
        <v>65</v>
      </c>
      <c r="F220" s="20" t="s">
        <v>1734</v>
      </c>
      <c r="G220" s="20" t="s">
        <v>1735</v>
      </c>
      <c r="H220" s="20" t="s">
        <v>1736</v>
      </c>
      <c r="I220" s="20" t="s">
        <v>1737</v>
      </c>
      <c r="J220" s="20"/>
      <c r="K220" s="29"/>
      <c r="L220" s="28"/>
      <c r="M220" s="20" t="s">
        <v>628</v>
      </c>
      <c r="N220" s="20"/>
    </row>
    <row r="221" spans="1:14">
      <c r="A221" s="20">
        <v>219</v>
      </c>
      <c r="B221" s="20" t="s">
        <v>1738</v>
      </c>
      <c r="C221" s="20" t="s">
        <v>81</v>
      </c>
      <c r="D221" s="20" t="s">
        <v>1739</v>
      </c>
      <c r="E221" s="27" t="s">
        <v>80</v>
      </c>
      <c r="F221" s="20" t="s">
        <v>1631</v>
      </c>
      <c r="G221" s="20" t="s">
        <v>1740</v>
      </c>
      <c r="H221" s="20" t="s">
        <v>1741</v>
      </c>
      <c r="I221" s="20"/>
      <c r="J221" s="20" t="s">
        <v>1742</v>
      </c>
      <c r="K221" s="20" t="s">
        <v>105</v>
      </c>
      <c r="L221" s="20" t="s">
        <v>105</v>
      </c>
      <c r="M221" s="20" t="s">
        <v>1743</v>
      </c>
      <c r="N221" s="20" t="s">
        <v>451</v>
      </c>
    </row>
    <row r="222" spans="1:14">
      <c r="A222" s="20">
        <v>220</v>
      </c>
      <c r="B222" s="20" t="s">
        <v>1744</v>
      </c>
      <c r="C222" s="20" t="s">
        <v>81</v>
      </c>
      <c r="D222" s="20" t="s">
        <v>1745</v>
      </c>
      <c r="E222" s="27" t="s">
        <v>80</v>
      </c>
      <c r="F222" s="20" t="s">
        <v>1631</v>
      </c>
      <c r="G222" s="20" t="s">
        <v>1746</v>
      </c>
      <c r="H222" s="20" t="s">
        <v>1747</v>
      </c>
      <c r="I222" s="20"/>
      <c r="J222" s="20" t="s">
        <v>1748</v>
      </c>
      <c r="K222" s="20" t="s">
        <v>105</v>
      </c>
      <c r="L222" s="20" t="s">
        <v>105</v>
      </c>
      <c r="M222" s="20" t="s">
        <v>1743</v>
      </c>
      <c r="N222" s="20" t="s">
        <v>451</v>
      </c>
    </row>
    <row r="223" spans="1:14">
      <c r="A223" s="20">
        <v>221</v>
      </c>
      <c r="B223" s="20" t="s">
        <v>1749</v>
      </c>
      <c r="C223" s="20" t="s">
        <v>81</v>
      </c>
      <c r="D223" s="20" t="s">
        <v>1750</v>
      </c>
      <c r="E223" s="27" t="s">
        <v>80</v>
      </c>
      <c r="F223" s="20" t="s">
        <v>1631</v>
      </c>
      <c r="G223" s="20" t="s">
        <v>1751</v>
      </c>
      <c r="H223" s="20" t="s">
        <v>1752</v>
      </c>
      <c r="I223" s="20"/>
      <c r="J223" s="20" t="s">
        <v>1753</v>
      </c>
      <c r="K223" s="20" t="s">
        <v>105</v>
      </c>
      <c r="L223" s="20" t="s">
        <v>105</v>
      </c>
      <c r="M223" s="20" t="s">
        <v>1743</v>
      </c>
      <c r="N223" s="20" t="s">
        <v>451</v>
      </c>
    </row>
    <row r="224" spans="1:14">
      <c r="A224" s="20">
        <v>222</v>
      </c>
      <c r="B224" s="20" t="s">
        <v>1754</v>
      </c>
      <c r="C224" s="20" t="s">
        <v>77</v>
      </c>
      <c r="D224" s="20" t="s">
        <v>1755</v>
      </c>
      <c r="E224" s="27" t="s">
        <v>80</v>
      </c>
      <c r="F224" s="20" t="s">
        <v>1756</v>
      </c>
      <c r="G224" s="20" t="s">
        <v>1757</v>
      </c>
      <c r="H224" s="20" t="s">
        <v>1758</v>
      </c>
      <c r="I224" s="20"/>
      <c r="J224" s="20" t="s">
        <v>1759</v>
      </c>
      <c r="K224" s="20" t="s">
        <v>105</v>
      </c>
      <c r="L224" s="28"/>
      <c r="M224" s="20" t="s">
        <v>348</v>
      </c>
      <c r="N224" s="20" t="s">
        <v>451</v>
      </c>
    </row>
    <row r="225" spans="1:14">
      <c r="A225" s="20">
        <v>223</v>
      </c>
      <c r="B225" s="20" t="s">
        <v>1760</v>
      </c>
      <c r="C225" s="20" t="s">
        <v>77</v>
      </c>
      <c r="D225" s="20" t="s">
        <v>1761</v>
      </c>
      <c r="E225" s="27" t="s">
        <v>80</v>
      </c>
      <c r="F225" s="20" t="s">
        <v>1756</v>
      </c>
      <c r="G225" s="20" t="s">
        <v>1762</v>
      </c>
      <c r="H225" s="20" t="s">
        <v>1763</v>
      </c>
      <c r="I225" s="20"/>
      <c r="J225" s="20" t="s">
        <v>1764</v>
      </c>
      <c r="K225" s="20" t="s">
        <v>105</v>
      </c>
      <c r="L225" s="28"/>
      <c r="M225" s="20" t="s">
        <v>348</v>
      </c>
      <c r="N225" s="20" t="s">
        <v>451</v>
      </c>
    </row>
    <row r="226" spans="1:14">
      <c r="A226" s="20">
        <v>224</v>
      </c>
      <c r="B226" s="20" t="s">
        <v>1765</v>
      </c>
      <c r="C226" s="20" t="s">
        <v>77</v>
      </c>
      <c r="D226" s="20" t="s">
        <v>1766</v>
      </c>
      <c r="E226" s="27" t="s">
        <v>80</v>
      </c>
      <c r="F226" s="20" t="s">
        <v>1756</v>
      </c>
      <c r="G226" s="20" t="s">
        <v>1767</v>
      </c>
      <c r="H226" s="20" t="s">
        <v>1768</v>
      </c>
      <c r="I226" s="20"/>
      <c r="J226" s="20" t="s">
        <v>1769</v>
      </c>
      <c r="K226" s="20" t="s">
        <v>105</v>
      </c>
      <c r="L226" s="28"/>
      <c r="M226" s="20" t="s">
        <v>348</v>
      </c>
      <c r="N226" s="20" t="s">
        <v>451</v>
      </c>
    </row>
    <row r="227" spans="1:14">
      <c r="A227" s="20">
        <v>225</v>
      </c>
      <c r="B227" s="20" t="s">
        <v>1770</v>
      </c>
      <c r="C227" s="20" t="s">
        <v>77</v>
      </c>
      <c r="D227" s="20" t="s">
        <v>1771</v>
      </c>
      <c r="E227" s="27" t="s">
        <v>80</v>
      </c>
      <c r="F227" s="20" t="s">
        <v>1756</v>
      </c>
      <c r="G227" s="20" t="s">
        <v>1772</v>
      </c>
      <c r="H227" s="20" t="s">
        <v>1773</v>
      </c>
      <c r="I227" s="20"/>
      <c r="J227" s="20" t="s">
        <v>1774</v>
      </c>
      <c r="K227" s="20" t="s">
        <v>105</v>
      </c>
      <c r="L227" s="28"/>
      <c r="M227" s="20" t="s">
        <v>348</v>
      </c>
      <c r="N227" s="20" t="s">
        <v>451</v>
      </c>
    </row>
    <row r="228" spans="1:14">
      <c r="A228" s="20">
        <v>226</v>
      </c>
      <c r="B228" s="20" t="s">
        <v>1775</v>
      </c>
      <c r="C228" s="20" t="s">
        <v>77</v>
      </c>
      <c r="D228" s="20" t="s">
        <v>1776</v>
      </c>
      <c r="E228" s="27" t="s">
        <v>80</v>
      </c>
      <c r="F228" s="20" t="s">
        <v>1756</v>
      </c>
      <c r="G228" s="20" t="s">
        <v>1777</v>
      </c>
      <c r="H228" s="20" t="s">
        <v>1778</v>
      </c>
      <c r="I228" s="20"/>
      <c r="J228" s="20" t="s">
        <v>1779</v>
      </c>
      <c r="K228" s="20" t="s">
        <v>105</v>
      </c>
      <c r="L228" s="28"/>
      <c r="M228" s="20" t="s">
        <v>348</v>
      </c>
      <c r="N228" s="20" t="s">
        <v>451</v>
      </c>
    </row>
    <row r="229" spans="1:14">
      <c r="A229" s="20">
        <v>227</v>
      </c>
      <c r="B229" s="20" t="s">
        <v>1780</v>
      </c>
      <c r="C229" s="20" t="s">
        <v>77</v>
      </c>
      <c r="D229" s="20" t="s">
        <v>1781</v>
      </c>
      <c r="E229" s="27" t="s">
        <v>80</v>
      </c>
      <c r="F229" s="20" t="s">
        <v>1756</v>
      </c>
      <c r="G229" s="20" t="s">
        <v>1782</v>
      </c>
      <c r="H229" s="20" t="s">
        <v>1783</v>
      </c>
      <c r="I229" s="20"/>
      <c r="J229" s="20" t="s">
        <v>1784</v>
      </c>
      <c r="K229" s="20" t="s">
        <v>105</v>
      </c>
      <c r="L229" s="28"/>
      <c r="M229" s="20" t="s">
        <v>348</v>
      </c>
      <c r="N229" s="20" t="s">
        <v>451</v>
      </c>
    </row>
    <row r="230" spans="1:14">
      <c r="A230" s="20">
        <v>228</v>
      </c>
      <c r="B230" s="20" t="s">
        <v>1785</v>
      </c>
      <c r="C230" s="20" t="s">
        <v>77</v>
      </c>
      <c r="D230" s="20" t="s">
        <v>1786</v>
      </c>
      <c r="E230" s="27" t="s">
        <v>80</v>
      </c>
      <c r="F230" s="20" t="s">
        <v>1756</v>
      </c>
      <c r="G230" s="20" t="s">
        <v>1787</v>
      </c>
      <c r="H230" s="20" t="s">
        <v>1788</v>
      </c>
      <c r="I230" s="20"/>
      <c r="J230" s="20" t="s">
        <v>1789</v>
      </c>
      <c r="K230" s="20" t="s">
        <v>105</v>
      </c>
      <c r="L230" s="28"/>
      <c r="M230" s="20" t="s">
        <v>348</v>
      </c>
      <c r="N230" s="20" t="s">
        <v>451</v>
      </c>
    </row>
    <row r="231" spans="1:14">
      <c r="A231" s="20">
        <v>229</v>
      </c>
      <c r="B231" s="20" t="s">
        <v>1790</v>
      </c>
      <c r="C231" s="20" t="s">
        <v>77</v>
      </c>
      <c r="D231" s="20" t="s">
        <v>1791</v>
      </c>
      <c r="E231" s="27" t="s">
        <v>80</v>
      </c>
      <c r="F231" s="20" t="s">
        <v>1756</v>
      </c>
      <c r="G231" s="20" t="s">
        <v>1792</v>
      </c>
      <c r="H231" s="20" t="s">
        <v>1793</v>
      </c>
      <c r="I231" s="20"/>
      <c r="J231" s="20" t="s">
        <v>1794</v>
      </c>
      <c r="K231" s="20" t="s">
        <v>105</v>
      </c>
      <c r="L231" s="28"/>
      <c r="M231" s="20" t="s">
        <v>348</v>
      </c>
      <c r="N231" s="20" t="s">
        <v>451</v>
      </c>
    </row>
    <row r="232" spans="1:14">
      <c r="A232" s="20">
        <v>230</v>
      </c>
      <c r="B232" s="20" t="s">
        <v>1795</v>
      </c>
      <c r="C232" s="20" t="s">
        <v>71</v>
      </c>
      <c r="D232" s="20" t="s">
        <v>1796</v>
      </c>
      <c r="E232" s="27" t="s">
        <v>80</v>
      </c>
      <c r="F232" s="20" t="s">
        <v>201</v>
      </c>
      <c r="G232" s="20" t="s">
        <v>1797</v>
      </c>
      <c r="H232" s="20" t="s">
        <v>1798</v>
      </c>
      <c r="I232" s="20"/>
      <c r="J232" s="20" t="s">
        <v>1799</v>
      </c>
      <c r="K232" s="20" t="s">
        <v>105</v>
      </c>
      <c r="L232" s="20" t="s">
        <v>105</v>
      </c>
      <c r="M232" s="20" t="s">
        <v>1800</v>
      </c>
      <c r="N232" s="20" t="s">
        <v>451</v>
      </c>
    </row>
    <row r="233" spans="1:14">
      <c r="A233" s="20">
        <v>231</v>
      </c>
      <c r="B233" s="20" t="s">
        <v>1801</v>
      </c>
      <c r="C233" s="20" t="s">
        <v>69</v>
      </c>
      <c r="D233" s="20" t="s">
        <v>1802</v>
      </c>
      <c r="E233" s="27" t="s">
        <v>80</v>
      </c>
      <c r="F233" s="20" t="s">
        <v>1803</v>
      </c>
      <c r="G233" s="20" t="s">
        <v>1804</v>
      </c>
      <c r="H233" s="20" t="s">
        <v>1805</v>
      </c>
      <c r="I233" s="20"/>
      <c r="J233" s="20" t="s">
        <v>1806</v>
      </c>
      <c r="K233" s="20" t="s">
        <v>105</v>
      </c>
      <c r="L233" s="20" t="s">
        <v>105</v>
      </c>
      <c r="M233" s="20" t="s">
        <v>1201</v>
      </c>
      <c r="N233" s="20" t="s">
        <v>451</v>
      </c>
    </row>
    <row r="234" spans="1:14">
      <c r="A234" s="20">
        <v>232</v>
      </c>
      <c r="B234" s="20" t="s">
        <v>1807</v>
      </c>
      <c r="C234" s="20" t="s">
        <v>69</v>
      </c>
      <c r="D234" s="20" t="s">
        <v>1808</v>
      </c>
      <c r="E234" s="27" t="s">
        <v>80</v>
      </c>
      <c r="F234" s="20" t="s">
        <v>1803</v>
      </c>
      <c r="G234" s="20" t="s">
        <v>1809</v>
      </c>
      <c r="H234" s="20" t="s">
        <v>1810</v>
      </c>
      <c r="I234" s="20"/>
      <c r="J234" s="20" t="s">
        <v>1811</v>
      </c>
      <c r="K234" s="20" t="s">
        <v>105</v>
      </c>
      <c r="L234" s="20" t="s">
        <v>105</v>
      </c>
      <c r="M234" s="20" t="s">
        <v>1201</v>
      </c>
      <c r="N234" s="20" t="s">
        <v>451</v>
      </c>
    </row>
    <row r="235" spans="1:14">
      <c r="A235" s="20">
        <v>233</v>
      </c>
      <c r="B235" s="20" t="s">
        <v>1812</v>
      </c>
      <c r="C235" s="20" t="s">
        <v>79</v>
      </c>
      <c r="D235" s="20" t="s">
        <v>1813</v>
      </c>
      <c r="E235" s="27" t="s">
        <v>80</v>
      </c>
      <c r="F235" s="20" t="s">
        <v>1814</v>
      </c>
      <c r="G235" s="20" t="s">
        <v>1815</v>
      </c>
      <c r="H235" s="20" t="s">
        <v>1816</v>
      </c>
      <c r="I235" s="20"/>
      <c r="J235" s="20" t="s">
        <v>1817</v>
      </c>
      <c r="K235" s="20" t="s">
        <v>105</v>
      </c>
      <c r="L235" s="28"/>
      <c r="M235" s="20" t="s">
        <v>348</v>
      </c>
      <c r="N235" s="20" t="s">
        <v>451</v>
      </c>
    </row>
    <row r="236" spans="1:14">
      <c r="A236" s="20">
        <v>234</v>
      </c>
      <c r="B236" s="20" t="s">
        <v>1818</v>
      </c>
      <c r="C236" s="20" t="s">
        <v>79</v>
      </c>
      <c r="D236" s="20" t="s">
        <v>1819</v>
      </c>
      <c r="E236" s="27" t="s">
        <v>80</v>
      </c>
      <c r="F236" s="20" t="s">
        <v>1814</v>
      </c>
      <c r="G236" s="20" t="s">
        <v>1820</v>
      </c>
      <c r="H236" s="20" t="s">
        <v>1821</v>
      </c>
      <c r="I236" s="20"/>
      <c r="J236" s="20" t="s">
        <v>1822</v>
      </c>
      <c r="K236" s="20" t="s">
        <v>105</v>
      </c>
      <c r="L236" s="20" t="s">
        <v>105</v>
      </c>
      <c r="M236" s="20" t="s">
        <v>604</v>
      </c>
      <c r="N236" s="20" t="s">
        <v>451</v>
      </c>
    </row>
    <row r="237" spans="1:14">
      <c r="A237" s="20">
        <v>235</v>
      </c>
      <c r="B237" s="20" t="s">
        <v>1823</v>
      </c>
      <c r="C237" s="20" t="s">
        <v>79</v>
      </c>
      <c r="D237" s="20" t="s">
        <v>1824</v>
      </c>
      <c r="E237" s="27" t="s">
        <v>80</v>
      </c>
      <c r="F237" s="20" t="s">
        <v>1814</v>
      </c>
      <c r="G237" s="20" t="s">
        <v>1825</v>
      </c>
      <c r="H237" s="20" t="s">
        <v>1826</v>
      </c>
      <c r="I237" s="20"/>
      <c r="J237" s="20" t="s">
        <v>1827</v>
      </c>
      <c r="K237" s="20" t="s">
        <v>105</v>
      </c>
      <c r="L237" s="28"/>
      <c r="M237" s="20" t="s">
        <v>348</v>
      </c>
      <c r="N237" s="20" t="s">
        <v>451</v>
      </c>
    </row>
    <row r="238" spans="1:14">
      <c r="A238" s="20">
        <v>236</v>
      </c>
      <c r="B238" s="20" t="s">
        <v>1828</v>
      </c>
      <c r="C238" s="20" t="s">
        <v>69</v>
      </c>
      <c r="D238" s="20" t="s">
        <v>1829</v>
      </c>
      <c r="E238" s="27" t="s">
        <v>80</v>
      </c>
      <c r="F238" s="20" t="s">
        <v>1830</v>
      </c>
      <c r="G238" s="20" t="s">
        <v>1831</v>
      </c>
      <c r="H238" s="20" t="s">
        <v>1832</v>
      </c>
      <c r="I238" s="20"/>
      <c r="J238" s="20" t="s">
        <v>1833</v>
      </c>
      <c r="K238" s="20" t="s">
        <v>105</v>
      </c>
      <c r="L238" s="20" t="s">
        <v>105</v>
      </c>
      <c r="M238" s="20" t="s">
        <v>604</v>
      </c>
      <c r="N238" s="20" t="s">
        <v>451</v>
      </c>
    </row>
    <row r="239" spans="1:14">
      <c r="A239" s="20">
        <v>237</v>
      </c>
      <c r="B239" s="20" t="s">
        <v>1834</v>
      </c>
      <c r="C239" s="20" t="s">
        <v>69</v>
      </c>
      <c r="D239" s="20" t="s">
        <v>1835</v>
      </c>
      <c r="E239" s="27" t="s">
        <v>80</v>
      </c>
      <c r="F239" s="20" t="s">
        <v>1830</v>
      </c>
      <c r="G239" s="20" t="s">
        <v>1836</v>
      </c>
      <c r="H239" s="20" t="s">
        <v>1837</v>
      </c>
      <c r="I239" s="20"/>
      <c r="J239" s="20" t="s">
        <v>1838</v>
      </c>
      <c r="K239" s="20" t="s">
        <v>105</v>
      </c>
      <c r="L239" s="28"/>
      <c r="M239" s="20" t="s">
        <v>348</v>
      </c>
      <c r="N239" s="20" t="s">
        <v>451</v>
      </c>
    </row>
    <row r="240" spans="1:14">
      <c r="A240" s="20">
        <v>238</v>
      </c>
      <c r="B240" s="20" t="s">
        <v>1839</v>
      </c>
      <c r="C240" s="20" t="s">
        <v>69</v>
      </c>
      <c r="D240" s="20" t="s">
        <v>1840</v>
      </c>
      <c r="E240" s="27" t="s">
        <v>80</v>
      </c>
      <c r="F240" s="20" t="s">
        <v>1841</v>
      </c>
      <c r="G240" s="20" t="s">
        <v>1842</v>
      </c>
      <c r="H240" s="20" t="s">
        <v>1843</v>
      </c>
      <c r="I240" s="20"/>
      <c r="J240" s="20" t="s">
        <v>1844</v>
      </c>
      <c r="K240" s="20" t="s">
        <v>105</v>
      </c>
      <c r="L240" s="28"/>
      <c r="M240" s="20" t="s">
        <v>348</v>
      </c>
      <c r="N240" s="20" t="s">
        <v>451</v>
      </c>
    </row>
    <row r="241" spans="1:14">
      <c r="A241" s="20">
        <v>239</v>
      </c>
      <c r="B241" s="20" t="s">
        <v>1845</v>
      </c>
      <c r="C241" s="20" t="s">
        <v>69</v>
      </c>
      <c r="D241" s="20" t="s">
        <v>1846</v>
      </c>
      <c r="E241" s="27" t="s">
        <v>80</v>
      </c>
      <c r="F241" s="20" t="s">
        <v>1803</v>
      </c>
      <c r="G241" s="20" t="s">
        <v>1847</v>
      </c>
      <c r="H241" s="20" t="s">
        <v>1564</v>
      </c>
      <c r="I241" s="20"/>
      <c r="J241" s="20" t="s">
        <v>1848</v>
      </c>
      <c r="K241" s="20" t="s">
        <v>105</v>
      </c>
      <c r="L241" s="20" t="s">
        <v>105</v>
      </c>
      <c r="M241" s="20" t="s">
        <v>242</v>
      </c>
      <c r="N241" s="20" t="s">
        <v>451</v>
      </c>
    </row>
    <row r="242" spans="1:14">
      <c r="A242" s="20">
        <v>240</v>
      </c>
      <c r="B242" s="20" t="s">
        <v>1849</v>
      </c>
      <c r="C242" s="20" t="s">
        <v>69</v>
      </c>
      <c r="D242" s="20" t="s">
        <v>1850</v>
      </c>
      <c r="E242" s="27" t="s">
        <v>80</v>
      </c>
      <c r="F242" s="20" t="s">
        <v>1803</v>
      </c>
      <c r="G242" s="20" t="s">
        <v>1851</v>
      </c>
      <c r="H242" s="20" t="s">
        <v>1564</v>
      </c>
      <c r="I242" s="20"/>
      <c r="J242" s="20" t="s">
        <v>1852</v>
      </c>
      <c r="K242" s="20" t="s">
        <v>105</v>
      </c>
      <c r="L242" s="20" t="s">
        <v>105</v>
      </c>
      <c r="M242" s="20" t="s">
        <v>242</v>
      </c>
      <c r="N242" s="20" t="s">
        <v>451</v>
      </c>
    </row>
  </sheetData>
  <autoFilter ref="A2:N242"/>
  <mergeCells count="1">
    <mergeCell ref="A1:N1"/>
  </mergeCells>
  <phoneticPr fontId="1"/>
  <dataValidations count="4">
    <dataValidation type="list" allowBlank="1" showErrorMessage="1" errorTitle="リスト外の値です" error="この列はプルダウンの値から選択してください。空白も使用できます。" sqref="C3:C242">
      <formula1>"UI,背景,イベントCG,キャラクター,エフェクト,参考画像,デスクトップ/Googru,ロゴ"</formula1>
    </dataValidation>
    <dataValidation type="list" allowBlank="1" showErrorMessage="1" errorTitle="リスト外の値です" error="この列はプルダウンの値から選択してください。空白も使用できます。" sqref="E3:E242">
      <formula1>"OK,命名要修正,Unityのみ/命名要修正,未取込,Unityのみ"</formula1>
    </dataValidation>
    <dataValidation type="list" allowBlank="1" showErrorMessage="1" errorTitle="リスト外の値です" error="この列はプルダウンの値から選択してください。空白も使用できます。" sqref="K3:K242">
      <formula1>"〇"</formula1>
    </dataValidation>
    <dataValidation type="list" allowBlank="1" showErrorMessage="1" errorTitle="リスト外の値です" error="この列はプルダウンの値から選択してください。空白も使用できます。" sqref="L3:L242">
      <formula1>"〇"</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ID命名規則</vt:lpstr>
      <vt:lpstr>サマリー</vt:lpstr>
      <vt:lpstr>音声</vt:lpstr>
      <vt:lpstr>イラスト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2026-06-06T03:58:51Z</dcterms:created>
  <dcterms:modified xsi:type="dcterms:W3CDTF">2026-06-07T20:59:56Z</dcterms:modified>
</cp:coreProperties>
</file>