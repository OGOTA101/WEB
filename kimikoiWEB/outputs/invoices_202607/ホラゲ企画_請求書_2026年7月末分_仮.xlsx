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請求書" sheetId="1" r:id="rId1"/>
  </sheets>
  <definedNames>
    <definedName name="_xlnm.Print_Area" localSheetId="0">請求書!$A$1:$I$46</definedName>
  </definedNames>
  <calcPr calcId="124519" fullCalcOnLoad="1"/>
</workbook>
</file>

<file path=xl/sharedStrings.xml><?xml version="1.0" encoding="utf-8"?>
<sst xmlns="http://schemas.openxmlformats.org/spreadsheetml/2006/main" count="40" uniqueCount="35">
  <si>
    <t>請 求 書</t>
  </si>
  <si>
    <t>発行日：2026年07月31日</t>
  </si>
  <si>
    <t>株式会社ビジュアルアーツ 御中</t>
  </si>
  <si>
    <t>大竹太貴</t>
  </si>
  <si>
    <t>080-3616-4089</t>
  </si>
  <si>
    <t>〒113-0034</t>
  </si>
  <si>
    <t>東京都文京区湯島3丁目</t>
  </si>
  <si>
    <t>17-13 阿部ビル202</t>
  </si>
  <si>
    <t>ご請求額</t>
  </si>
  <si>
    <t>振込先</t>
  </si>
  <si>
    <t>三菱UFJ銀行 小金井支店 普通 0452649</t>
  </si>
  <si>
    <t>Spiral Gear 大竹 太貴</t>
  </si>
  <si>
    <t>振込期日</t>
  </si>
  <si>
    <t>2026年8月26日</t>
  </si>
  <si>
    <t>作業期間</t>
  </si>
  <si>
    <t>内容</t>
  </si>
  <si>
    <t>数量</t>
  </si>
  <si>
    <t>単位</t>
  </si>
  <si>
    <t>単価（税抜）</t>
  </si>
  <si>
    <t>税率</t>
  </si>
  <si>
    <t>金額（税抜）</t>
  </si>
  <si>
    <t>2026/6/1～2026/7/31</t>
  </si>
  <si>
    <t>ホラゲ本開発 第1フェーズ分（成果物・作業）</t>
  </si>
  <si>
    <t>式</t>
  </si>
  <si>
    <t>交通費（6月～7月分・別紙明細添付）</t>
  </si>
  <si>
    <t>固定IPアドレスライセンス代（6月～7月分・領収書添付）</t>
  </si>
  <si>
    <t>税 率 区 分</t>
  </si>
  <si>
    <t>消費税相当額</t>
  </si>
  <si>
    <t>金 額</t>
  </si>
  <si>
    <t>10%対象</t>
  </si>
  <si>
    <t>小計</t>
  </si>
  <si>
    <t>源泉所得税</t>
  </si>
  <si>
    <t>合計</t>
  </si>
  <si>
    <t>備考</t>
  </si>
  <si>
    <t>※上記「ホラゲ本開発 第1フェーズ分」には、対象期間内の成果物および作業、週次作業報告書、ビルドファイル、開発管理資料テンプレート等の作成費用が含まれております。
※交通費明細資料および固定IPアドレスライセンス代の領収書を添付予定です。
※源泉所得税は、先方ご指定により控除なしで作成しております。
※交通費・固定IPアドレスライセンス代は仮0円です。実額確定後、単価欄を差し替えてください。</t>
  </si>
</sst>
</file>

<file path=xl/styles.xml><?xml version="1.0" encoding="utf-8"?>
<styleSheet xmlns="http://schemas.openxmlformats.org/spreadsheetml/2006/main">
  <numFmts count="3">
    <numFmt numFmtId="164" formatCode="¥#,##0"/>
    <numFmt numFmtId="165" formatCode="¥#,##0;[Red]-¥#,##0;¥0"/>
    <numFmt numFmtId="166" formatCode="0%"/>
  </numFmts>
  <fonts count="11">
    <font>
      <sz val="11"/>
      <color theme="1"/>
      <name val="Calibri"/>
      <family val="2"/>
      <scheme val="minor"/>
    </font>
    <font>
      <b/>
      <sz val="20"/>
      <color rgb="FF43AA91"/>
      <name val="Yu Gothic"/>
      <family val="2"/>
    </font>
    <font>
      <b/>
      <sz val="11"/>
      <color rgb="FF000000"/>
      <name val="Yu Gothic"/>
      <family val="2"/>
    </font>
    <font>
      <sz val="10"/>
      <color rgb="FF000000"/>
      <name val="Yu Gothic"/>
      <family val="2"/>
    </font>
    <font>
      <b/>
      <sz val="10"/>
      <color rgb="FFFFFFFF"/>
      <name val="Yu Gothic"/>
      <family val="2"/>
    </font>
    <font>
      <sz val="14"/>
      <color rgb="FF000000"/>
      <name val="Yu Gothic"/>
      <family val="2"/>
    </font>
    <font>
      <b/>
      <sz val="9"/>
      <color rgb="FFFFFFFF"/>
      <name val="Yu Gothic"/>
      <family val="2"/>
    </font>
    <font>
      <sz val="8"/>
      <color rgb="FF000000"/>
      <name val="Yu Gothic"/>
      <family val="2"/>
    </font>
    <font>
      <sz val="9"/>
      <color rgb="FF000000"/>
      <name val="Yu Gothic"/>
      <family val="2"/>
    </font>
    <font>
      <sz val="10"/>
      <color rgb="FF0000FF"/>
      <name val="Yu Gothic"/>
      <family val="2"/>
    </font>
    <font>
      <b/>
      <sz val="10"/>
      <color rgb="FF000000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43AA91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43AA91"/>
      </left>
      <right style="thin">
        <color rgb="FF43AA91"/>
      </right>
      <top style="thin">
        <color rgb="FF43AA91"/>
      </top>
      <bottom style="thin">
        <color rgb="FF43AA91"/>
      </bottom>
      <diagonal/>
    </border>
    <border>
      <left style="medium">
        <color rgb="FF43AA91"/>
      </left>
      <right style="medium">
        <color rgb="FF43AA91"/>
      </right>
      <top style="medium">
        <color rgb="FF43AA91"/>
      </top>
      <bottom style="medium">
        <color rgb="FF43AA9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6"/>
  <sheetViews>
    <sheetView showGridLines="0" tabSelected="1" workbookViewId="0">
      <pane ySplit="23" topLeftCell="A24" activePane="bottomLeft" state="frozen"/>
      <selection pane="bottomLeft"/>
    </sheetView>
  </sheetViews>
  <sheetFormatPr defaultRowHeight="15"/>
  <cols>
    <col min="1" max="1" width="12.7109375" customWidth="1"/>
    <col min="2" max="4" width="15.7109375" customWidth="1"/>
    <col min="5" max="6" width="8.7109375" customWidth="1"/>
    <col min="7" max="7" width="16.7109375" customWidth="1"/>
    <col min="8" max="8" width="12.7109375" customWidth="1"/>
    <col min="9" max="9" width="16.7109375" customWidth="1"/>
  </cols>
  <sheetData>
    <row r="1" spans="1:9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0" customHeight="1"/>
    <row r="3" spans="1:9" ht="20" customHeight="1"/>
    <row r="4" spans="1:9" ht="20" customHeight="1">
      <c r="G4" s="2" t="s">
        <v>1</v>
      </c>
    </row>
    <row r="5" spans="1:9" ht="20" customHeight="1"/>
    <row r="6" spans="1:9" ht="20" customHeight="1"/>
    <row r="7" spans="1:9" ht="20" customHeight="1">
      <c r="A7" s="2" t="s">
        <v>2</v>
      </c>
      <c r="G7" s="2" t="s">
        <v>3</v>
      </c>
    </row>
    <row r="8" spans="1:9" ht="20" customHeight="1">
      <c r="G8" s="3" t="s">
        <v>4</v>
      </c>
    </row>
    <row r="9" spans="1:9" ht="20" customHeight="1">
      <c r="G9" s="3" t="s">
        <v>5</v>
      </c>
    </row>
    <row r="10" spans="1:9" ht="20" customHeight="1">
      <c r="G10" s="3" t="s">
        <v>6</v>
      </c>
    </row>
    <row r="11" spans="1:9" ht="20" customHeight="1">
      <c r="G11" s="3" t="s">
        <v>7</v>
      </c>
    </row>
    <row r="12" spans="1:9" ht="20" customHeight="1"/>
    <row r="13" spans="1:9" ht="20" customHeight="1">
      <c r="A13" s="4" t="s">
        <v>8</v>
      </c>
      <c r="B13" s="4"/>
      <c r="C13" s="5">
        <f>I39</f>
        <v>1485000</v>
      </c>
      <c r="D13" s="5"/>
      <c r="E13" s="5"/>
    </row>
    <row r="14" spans="1:9" ht="20" customHeight="1">
      <c r="A14" s="4"/>
      <c r="B14" s="4"/>
      <c r="C14" s="5"/>
      <c r="D14" s="5"/>
      <c r="E14" s="5"/>
    </row>
    <row r="15" spans="1:9" ht="20" customHeight="1"/>
    <row r="16" spans="1:9" ht="20" customHeight="1"/>
    <row r="17" spans="1:9" ht="20" customHeight="1">
      <c r="A17" s="4" t="s">
        <v>9</v>
      </c>
      <c r="B17" s="4"/>
      <c r="C17" s="6" t="s">
        <v>10</v>
      </c>
      <c r="D17" s="6"/>
      <c r="E17" s="6"/>
      <c r="F17" s="6"/>
      <c r="G17" s="6"/>
      <c r="H17" s="6"/>
      <c r="I17" s="6"/>
    </row>
    <row r="18" spans="1:9" ht="20" customHeight="1">
      <c r="A18" s="4"/>
      <c r="B18" s="4"/>
      <c r="C18" s="6" t="s">
        <v>11</v>
      </c>
      <c r="D18" s="6"/>
      <c r="E18" s="6"/>
      <c r="F18" s="6"/>
      <c r="G18" s="6"/>
      <c r="H18" s="6"/>
      <c r="I18" s="6"/>
    </row>
    <row r="19" spans="1:9" ht="20" customHeight="1">
      <c r="A19" s="4" t="s">
        <v>12</v>
      </c>
      <c r="B19" s="4"/>
      <c r="C19" s="6" t="s">
        <v>13</v>
      </c>
      <c r="D19" s="6"/>
      <c r="E19" s="6"/>
      <c r="F19" s="6"/>
      <c r="G19" s="6"/>
      <c r="H19" s="6"/>
      <c r="I19" s="6"/>
    </row>
    <row r="20" spans="1:9" ht="20" customHeight="1">
      <c r="A20" s="4"/>
      <c r="B20" s="4"/>
      <c r="C20" s="6"/>
      <c r="D20" s="6"/>
      <c r="E20" s="6"/>
      <c r="F20" s="6"/>
      <c r="G20" s="6"/>
      <c r="H20" s="6"/>
      <c r="I20" s="6"/>
    </row>
    <row r="21" spans="1:9" ht="20" customHeight="1"/>
    <row r="22" spans="1:9" ht="20" customHeight="1"/>
    <row r="23" spans="1:9" ht="18" customHeight="1">
      <c r="A23" s="7" t="s">
        <v>14</v>
      </c>
      <c r="B23" s="7" t="s">
        <v>15</v>
      </c>
      <c r="C23" s="7"/>
      <c r="D23" s="7"/>
      <c r="E23" s="7" t="s">
        <v>16</v>
      </c>
      <c r="F23" s="7" t="s">
        <v>17</v>
      </c>
      <c r="G23" s="7" t="s">
        <v>18</v>
      </c>
      <c r="H23" s="7" t="s">
        <v>19</v>
      </c>
      <c r="I23" s="7" t="s">
        <v>20</v>
      </c>
    </row>
    <row r="24" spans="1:9" ht="18" customHeight="1">
      <c r="A24" s="8" t="s">
        <v>21</v>
      </c>
      <c r="B24" s="9" t="s">
        <v>22</v>
      </c>
      <c r="C24" s="9"/>
      <c r="D24" s="9"/>
      <c r="E24" s="10">
        <v>1</v>
      </c>
      <c r="F24" s="10" t="s">
        <v>23</v>
      </c>
      <c r="G24" s="11">
        <v>1350000</v>
      </c>
      <c r="H24" s="12">
        <v>0.1</v>
      </c>
      <c r="I24" s="11">
        <f>E24*G24</f>
        <v>1350000</v>
      </c>
    </row>
    <row r="25" spans="1:9" ht="18" customHeight="1">
      <c r="A25" s="8" t="s">
        <v>21</v>
      </c>
      <c r="B25" s="9" t="s">
        <v>24</v>
      </c>
      <c r="C25" s="9"/>
      <c r="D25" s="9"/>
      <c r="E25" s="10">
        <v>1</v>
      </c>
      <c r="F25" s="10" t="s">
        <v>23</v>
      </c>
      <c r="G25" s="13">
        <v>0</v>
      </c>
      <c r="H25" s="12">
        <v>0.1</v>
      </c>
      <c r="I25" s="11">
        <f>E25*G25</f>
        <v>0</v>
      </c>
    </row>
    <row r="26" spans="1:9" ht="18" customHeight="1">
      <c r="A26" s="8" t="s">
        <v>21</v>
      </c>
      <c r="B26" s="9" t="s">
        <v>25</v>
      </c>
      <c r="C26" s="9"/>
      <c r="D26" s="9"/>
      <c r="E26" s="10">
        <v>1</v>
      </c>
      <c r="F26" s="10" t="s">
        <v>23</v>
      </c>
      <c r="G26" s="13">
        <v>0</v>
      </c>
      <c r="H26" s="12">
        <v>0.1</v>
      </c>
      <c r="I26" s="11">
        <f>E26*G26</f>
        <v>0</v>
      </c>
    </row>
    <row r="27" spans="1:9" ht="18" customHeight="1">
      <c r="A27" s="10"/>
      <c r="B27" s="6"/>
      <c r="C27" s="6"/>
      <c r="D27" s="6"/>
      <c r="E27" s="10"/>
      <c r="F27" s="10"/>
      <c r="G27" s="11"/>
      <c r="H27" s="10"/>
      <c r="I27" s="14">
        <f>IF(OR(E27="",G27=""),0,E27*G27)</f>
        <v>0</v>
      </c>
    </row>
    <row r="28" spans="1:9" ht="18" customHeight="1">
      <c r="A28" s="10"/>
      <c r="B28" s="6"/>
      <c r="C28" s="6"/>
      <c r="D28" s="6"/>
      <c r="E28" s="10"/>
      <c r="F28" s="10"/>
      <c r="G28" s="11"/>
      <c r="H28" s="10"/>
      <c r="I28" s="14">
        <f>IF(OR(E28="",G28=""),0,E28*G28)</f>
        <v>0</v>
      </c>
    </row>
    <row r="29" spans="1:9" ht="18" customHeight="1">
      <c r="A29" s="10"/>
      <c r="B29" s="6"/>
      <c r="C29" s="6"/>
      <c r="D29" s="6"/>
      <c r="E29" s="10"/>
      <c r="F29" s="10"/>
      <c r="G29" s="11"/>
      <c r="H29" s="10"/>
      <c r="I29" s="14">
        <f>IF(OR(E29="",G29=""),0,E29*G29)</f>
        <v>0</v>
      </c>
    </row>
    <row r="30" spans="1:9" ht="18" customHeight="1">
      <c r="A30" s="10"/>
      <c r="B30" s="6"/>
      <c r="C30" s="6"/>
      <c r="D30" s="6"/>
      <c r="E30" s="10"/>
      <c r="F30" s="10"/>
      <c r="G30" s="11"/>
      <c r="H30" s="10"/>
      <c r="I30" s="14">
        <f>IF(OR(E30="",G30=""),0,E30*G30)</f>
        <v>0</v>
      </c>
    </row>
    <row r="31" spans="1:9" ht="18" customHeight="1">
      <c r="A31" s="10"/>
      <c r="B31" s="6"/>
      <c r="C31" s="6"/>
      <c r="D31" s="6"/>
      <c r="E31" s="10"/>
      <c r="F31" s="10"/>
      <c r="G31" s="11"/>
      <c r="H31" s="10"/>
      <c r="I31" s="14">
        <f>IF(OR(E31="",G31=""),0,E31*G31)</f>
        <v>0</v>
      </c>
    </row>
    <row r="32" spans="1:9" ht="18" customHeight="1">
      <c r="A32" s="10"/>
      <c r="B32" s="6"/>
      <c r="C32" s="6"/>
      <c r="D32" s="6"/>
      <c r="E32" s="10"/>
      <c r="F32" s="10"/>
      <c r="G32" s="11"/>
      <c r="H32" s="10"/>
      <c r="I32" s="14">
        <f>IF(OR(E32="",G32=""),0,E32*G32)</f>
        <v>0</v>
      </c>
    </row>
    <row r="33" spans="1:9" ht="18" customHeight="1">
      <c r="A33" s="10"/>
      <c r="B33" s="6"/>
      <c r="C33" s="6"/>
      <c r="D33" s="6"/>
      <c r="E33" s="10"/>
      <c r="F33" s="10"/>
      <c r="G33" s="11"/>
      <c r="H33" s="10"/>
      <c r="I33" s="14">
        <f>IF(OR(E33="",G33=""),0,E33*G33)</f>
        <v>0</v>
      </c>
    </row>
    <row r="34" spans="1:9" ht="20" customHeight="1"/>
    <row r="35" spans="1:9" ht="20" customHeight="1"/>
    <row r="36" spans="1:9" ht="20" customHeight="1">
      <c r="A36" s="4" t="s">
        <v>26</v>
      </c>
      <c r="B36" s="4"/>
      <c r="C36" s="4" t="s">
        <v>27</v>
      </c>
      <c r="D36" s="4"/>
      <c r="E36" s="4"/>
      <c r="F36" s="4" t="s">
        <v>28</v>
      </c>
      <c r="G36" s="4"/>
      <c r="H36" s="7" t="s">
        <v>30</v>
      </c>
      <c r="I36" s="11">
        <f>SUM(I24:I33)</f>
        <v>1350000</v>
      </c>
    </row>
    <row r="37" spans="1:9" ht="20" customHeight="1">
      <c r="A37" s="4"/>
      <c r="B37" s="4"/>
      <c r="C37" s="4"/>
      <c r="D37" s="4"/>
      <c r="E37" s="4"/>
      <c r="F37" s="4"/>
      <c r="G37" s="4"/>
      <c r="H37" s="7" t="s">
        <v>27</v>
      </c>
      <c r="I37" s="11">
        <f>ROUND(I36*10%,0)</f>
        <v>135000</v>
      </c>
    </row>
    <row r="38" spans="1:9" ht="20" customHeight="1">
      <c r="A38" s="15" t="s">
        <v>29</v>
      </c>
      <c r="B38" s="15"/>
      <c r="C38" s="11">
        <f>ROUND(SUM(I24:I33)*10%,0)</f>
        <v>135000</v>
      </c>
      <c r="D38" s="11"/>
      <c r="E38" s="11"/>
      <c r="F38" s="11">
        <f>SUM(I24:I33)</f>
        <v>1350000</v>
      </c>
      <c r="G38" s="11"/>
      <c r="H38" s="7" t="s">
        <v>31</v>
      </c>
      <c r="I38" s="11">
        <v>0</v>
      </c>
    </row>
    <row r="39" spans="1:9" ht="20" customHeight="1">
      <c r="A39" s="15"/>
      <c r="B39" s="15"/>
      <c r="C39" s="11"/>
      <c r="D39" s="11"/>
      <c r="E39" s="11"/>
      <c r="F39" s="11"/>
      <c r="G39" s="11"/>
      <c r="H39" s="7" t="s">
        <v>32</v>
      </c>
      <c r="I39" s="16">
        <f>I36+I37-I38</f>
        <v>1485000</v>
      </c>
    </row>
    <row r="40" spans="1:9" ht="20" customHeight="1"/>
    <row r="41" spans="1:9" ht="20" customHeight="1"/>
    <row r="42" spans="1:9" ht="20" customHeight="1">
      <c r="A42" s="7" t="s">
        <v>33</v>
      </c>
      <c r="B42" s="7"/>
      <c r="C42" s="7"/>
      <c r="D42" s="7"/>
      <c r="E42" s="7"/>
      <c r="F42" s="7"/>
      <c r="G42" s="7"/>
      <c r="H42" s="7"/>
      <c r="I42" s="7"/>
    </row>
    <row r="43" spans="1:9" ht="60" customHeight="1">
      <c r="A43" s="17" t="s">
        <v>34</v>
      </c>
      <c r="B43" s="17"/>
      <c r="C43" s="17"/>
      <c r="D43" s="17"/>
      <c r="E43" s="17"/>
      <c r="F43" s="17"/>
      <c r="G43" s="17"/>
      <c r="H43" s="17"/>
      <c r="I43" s="17"/>
    </row>
    <row r="44" spans="1:9" ht="20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20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20" customHeight="1">
      <c r="A46" s="17"/>
      <c r="B46" s="17"/>
      <c r="C46" s="17"/>
      <c r="D46" s="17"/>
      <c r="E46" s="17"/>
      <c r="F46" s="17"/>
      <c r="G46" s="17"/>
      <c r="H46" s="17"/>
      <c r="I46" s="17"/>
    </row>
  </sheetData>
  <mergeCells count="27">
    <mergeCell ref="A1:I1"/>
    <mergeCell ref="A13:B14"/>
    <mergeCell ref="C13:E14"/>
    <mergeCell ref="A17:B18"/>
    <mergeCell ref="C17:I17"/>
    <mergeCell ref="C18:I18"/>
    <mergeCell ref="A19:B20"/>
    <mergeCell ref="C19:I20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A36:B37"/>
    <mergeCell ref="C36:E37"/>
    <mergeCell ref="F36:G37"/>
    <mergeCell ref="A38:B39"/>
    <mergeCell ref="C38:E39"/>
    <mergeCell ref="F38:G39"/>
    <mergeCell ref="A42:I42"/>
    <mergeCell ref="A43:I46"/>
  </mergeCells>
  <pageMargins left="0.35" right="0.35" top="0.35" bottom="0.3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2026-07-21T13:24:38Z</dcterms:created>
  <dcterms:modified xsi:type="dcterms:W3CDTF">2026-07-21T13:24:38Z</dcterms:modified>
</cp:coreProperties>
</file>